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ndamentos\Desktop\"/>
    </mc:Choice>
  </mc:AlternateContent>
  <xr:revisionPtr revIDLastSave="0" documentId="13_ncr:1_{55B654C6-1351-4547-841C-BE0DB423C1D6}" xr6:coauthVersionLast="47" xr6:coauthVersionMax="47" xr10:uidLastSave="{00000000-0000-0000-0000-000000000000}"/>
  <bookViews>
    <workbookView xWindow="-108" yWindow="-108" windowWidth="23256" windowHeight="12456" firstSheet="3" activeTab="3" xr2:uid="{6B4D36EC-0915-4E9A-928D-7D2D2DBC5CED}"/>
  </bookViews>
  <sheets>
    <sheet name="Planilha1" sheetId="3" state="hidden" r:id="rId1"/>
    <sheet name="Planilha2" sheetId="4" state="hidden" r:id="rId2"/>
    <sheet name="Planilha3" sheetId="5" state="hidden" r:id="rId3"/>
    <sheet name="BAM CÂMERAS" sheetId="7" r:id="rId4"/>
    <sheet name="CÂMERAS USADAS" sheetId="11" r:id="rId5"/>
    <sheet name="BAM CONT ACESSO" sheetId="9" r:id="rId6"/>
    <sheet name="BAM CHASSIS" sheetId="8" r:id="rId7"/>
    <sheet name="CANCELA" sheetId="10" r:id="rId8"/>
  </sheets>
  <calcPr calcId="191028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13" i="7" s="1"/>
  <c r="D15" i="7" s="1"/>
  <c r="C13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<sst xmlns="http://schemas.openxmlformats.org/spreadsheetml/2006/main" count="143" uniqueCount="106">
  <si>
    <t>Rótulos de Linha</t>
  </si>
  <si>
    <t>Contagem de BAM</t>
  </si>
  <si>
    <t>DISPENSADO</t>
  </si>
  <si>
    <t>CABEAMENTO HORIZONTAL</t>
  </si>
  <si>
    <t>CABO ELÉTRICO</t>
  </si>
  <si>
    <t>CHASSI PARA CONV. DE MÍDIA</t>
  </si>
  <si>
    <t>CONDULETES</t>
  </si>
  <si>
    <t>CONTROLE DE ACESSO DE PESSOAS</t>
  </si>
  <si>
    <t>CONTROLE DE ACESSO DE VEÍCULOS</t>
  </si>
  <si>
    <t>CONV. DE MÍDIA E INJETOR POE</t>
  </si>
  <si>
    <t>CORDÃO ÓTICO</t>
  </si>
  <si>
    <t>DIO</t>
  </si>
  <si>
    <t>DISJUNTORES</t>
  </si>
  <si>
    <t>ELETROCALHA E ACESSÓRIOS</t>
  </si>
  <si>
    <t>ELETROTUDOS E ACESSÓRIOS</t>
  </si>
  <si>
    <t>GRAMPOS PARA ORG. VERTICAL</t>
  </si>
  <si>
    <t>ORGANIZADOR HORIZONTAL</t>
  </si>
  <si>
    <t>PATCH CORD</t>
  </si>
  <si>
    <t>PATCH PANEL</t>
  </si>
  <si>
    <t>PERFILADO E ACESSÓRIOS</t>
  </si>
  <si>
    <t>POSTES METÁLICOS</t>
  </si>
  <si>
    <t>RACK</t>
  </si>
  <si>
    <t>REDE DE DUTOS</t>
  </si>
  <si>
    <t>REDE ÓTICA</t>
  </si>
  <si>
    <t>STVV- CÂMERAS DE VÍDEO E ACESSÓRIOS</t>
  </si>
  <si>
    <t>TERM. ÓTICO E CONV. MÍDIA</t>
  </si>
  <si>
    <t>TOMADAS E ACESSÓRIOS</t>
  </si>
  <si>
    <t>(vazio)</t>
  </si>
  <si>
    <t>GESTÃO DE PREV. DOS PASSAGEIROS</t>
  </si>
  <si>
    <t>NO-BREAK</t>
  </si>
  <si>
    <t>PLAT. DE GER. DO SIST. CONTROLE DE ACESSO</t>
  </si>
  <si>
    <t>QUADROS ELÉTRICOS</t>
  </si>
  <si>
    <t>STVV - PLATAFORMA DE GESTÃO</t>
  </si>
  <si>
    <t>SWITCH</t>
  </si>
  <si>
    <t>Total Geral</t>
  </si>
  <si>
    <t>Soma de Custo Total Previsto</t>
  </si>
  <si>
    <t>BAM</t>
  </si>
  <si>
    <t>PLANILHA</t>
  </si>
  <si>
    <t>QUANTIDADE</t>
  </si>
  <si>
    <t>ESTOQUE</t>
  </si>
  <si>
    <t>DESCRIÇÃO PLANILHA</t>
  </si>
  <si>
    <t>MODELO</t>
  </si>
  <si>
    <t>FOTO</t>
  </si>
  <si>
    <t>ELO-0008</t>
  </si>
  <si>
    <t>04.04.01.00.001</t>
  </si>
  <si>
    <t>CFI - Câmera IP, Fixa, Interna, Box, 5MP+IR, Lente de 2.8-12 mm, com caixa de proteção à prova de intempérie, com suporte para teto ou parede, ou equivalente técnico</t>
  </si>
  <si>
    <t>DH-IPC-HFW5541EP-ZE-27135-S3</t>
  </si>
  <si>
    <t>SELO 14</t>
  </si>
  <si>
    <t>ELO-0009</t>
  </si>
  <si>
    <t>04.04.01.00.002</t>
  </si>
  <si>
    <t>CFID - Câmera IP, Fixa, Interna, com Domo sobreposto, 5MP + IR, Lente de 2.8-12 mm, com suporte para teto ou parede, ou equivalente técnico</t>
  </si>
  <si>
    <t>DH-IPC-HDBW5541EP-ZE-27135-DC12AC24V-S3</t>
  </si>
  <si>
    <t>ELO-0010</t>
  </si>
  <si>
    <t>04.02.02.06.003</t>
  </si>
  <si>
    <t>CIM - Câmera IP, Multisensor, com 8 (oito) sensores de 2MP para visão panorâmica com uma PTZ integrada de 4MP e zoom ótico de 40X, com suporte para teto ou parede, ou equivalente técnico</t>
  </si>
  <si>
    <t>DH-PSDW81642MP-A360-D440-DC36V-S3</t>
  </si>
  <si>
    <t>ELO-0011</t>
  </si>
  <si>
    <t>04.02.02.06.004</t>
  </si>
  <si>
    <t>CEM - Câmera IP, Fixa, Externa, Multisensor, 4MP, lente fixa de 5 mm + lente com zoom óptico de 6-240mm, com suporte para teto ou parede, ou equivalente técnico</t>
  </si>
  <si>
    <t>DH-SDT8C842-8P-FA-APV-0280</t>
  </si>
  <si>
    <t>ELO-0012</t>
  </si>
  <si>
    <t>04.02.02.06.005</t>
  </si>
  <si>
    <t>CFE - Câmera IP, Fixa, Externa, com Box, 5MP+ IR, Lente de 2.8-12 mm, com caixa de proteção à prova de intempérie, com suporte para teto ou parede, ou equivalente técnico</t>
  </si>
  <si>
    <t>DH-IPC-HFW5541E-ZE</t>
  </si>
  <si>
    <t>ELO-0013</t>
  </si>
  <si>
    <t>04.02.02.06.006</t>
  </si>
  <si>
    <t>CFE1 - Câmera IP, Fixa, Externa, com Box, 8MP+ IR, Lente de 8-32 mm, com caixa de proteção à prova de intempérie, com suporte para teto ou parede, ou equivalente técnico</t>
  </si>
  <si>
    <t>DH-IPC-HFW7842H-Z4-X</t>
  </si>
  <si>
    <t>ELO-0014</t>
  </si>
  <si>
    <t>04.02.02.06.007</t>
  </si>
  <si>
    <t>CFE2 - Câmera IP, Fixa, Externa, com Box, 4MP + IR, Lente de 12-55 mm, com caixa de proteção à prova de intempérie, com suporte para teto ou parede, ou equivalente técnico</t>
  </si>
  <si>
    <t>DH-IPC-HFW5241E-Z12E</t>
  </si>
  <si>
    <t>ELO-0015</t>
  </si>
  <si>
    <t>04.02.02.06.008</t>
  </si>
  <si>
    <t>CFE3 - Câmera IP, Fixa, Externa, 8MP + IR, Lente de 6-240 mm, com caixa de proteção à prova de intempérie, com suporte para teto ou parede, ou equivalente técnico</t>
  </si>
  <si>
    <t>SDT8C842-8P-FA-APV-0280</t>
  </si>
  <si>
    <t>ELO-0016</t>
  </si>
  <si>
    <t>04.02.02.06.009</t>
  </si>
  <si>
    <t>CMID - Câmeras IP, Móvel, Interna, com Domo PTZ pendente, 5MP+ IR, Lente de 5.3-175 mm, zoom de 33X, com suporte para teto ou parede, ou equivalente técnico</t>
  </si>
  <si>
    <t>DH-SD5A445GB-HNR</t>
  </si>
  <si>
    <t>ELO-0017</t>
  </si>
  <si>
    <t>04.02.02.06.010</t>
  </si>
  <si>
    <t>CMED - Câmera IP, Móvel, Externa, com Domo PTZ pendente, 5MP + IR, Lente de 5,3 - 175 mm, zoom ótico de 33X, com suporte para teto e parede, ou equivalente técnico</t>
  </si>
  <si>
    <t>ELO-0018</t>
  </si>
  <si>
    <t>04.02.02.06.011</t>
  </si>
  <si>
    <t>CEL - Câmera para os Elevadores, Câmera IP, Fixa, Interna, 4MP, lente fixa de 2,8 mm</t>
  </si>
  <si>
    <t>DH-IPC-HDW3449H-AS-PV</t>
  </si>
  <si>
    <t>04.03.02.01.002</t>
  </si>
  <si>
    <t>CÂMERA LPR PARA LEITURA DE PLACAS, TCP/IP, LENTE AUTOFOCO DE 3,2 MM A 11,1 MM, SENSOR CMOS 3MP 1/2,8"</t>
  </si>
  <si>
    <t>DHI-ITC413-PW4D</t>
  </si>
  <si>
    <t>CFI - ES</t>
  </si>
  <si>
    <t>CFID - ES</t>
  </si>
  <si>
    <t>04.03.01.01.001</t>
  </si>
  <si>
    <t>TERMINAL DE CONTROLE DE ACESSO, DUPLA AUTENTICAÇÃO COM RECONHECIMENTO FACIAL E APROXIMAÇÃO DE CARTÃO POE - PARA UTILIZAÇÃO EM ÁREAS INTERNAS</t>
  </si>
  <si>
    <t>DHI-ASI7213S-W</t>
  </si>
  <si>
    <t>04.03.01.01.002</t>
  </si>
  <si>
    <t>TERMINAL DE CONTROLE DE ACESSO, DUPLA AUTENTICAÇÃO COM RECONHECIMENTO FACIAL E APROXIMAÇÃO DE CARTÃO,POE, IP66, IK07 - PARA UTILIZAÇÃO EM ÁREAS EXTERNAS</t>
  </si>
  <si>
    <t>DHI-ASI7213K-W</t>
  </si>
  <si>
    <t>ELO-0019</t>
  </si>
  <si>
    <t>04.03.02.01.004</t>
  </si>
  <si>
    <t>Scanner de Chassi de Veiculos, escaneamento através de câmeras de alta velocidade de 2MP, TCP/IP, resolução &gt; 6000 x 1048 pixels</t>
  </si>
  <si>
    <t>DAHUA               UVSS|VDF5020CE-00 UVSS|ARC-3600-G3-00A5 UVSS|DHL22-F600-S UVSS|VDC5641E-00 UVSS|VDCA50E-00</t>
  </si>
  <si>
    <t>04.03.02.01.003</t>
  </si>
  <si>
    <t>CANCELA AUTOMÁTICA COM BRAÇO TELESCÓPICO, FECHAMENTO AUTOMÁTICO COM SENSOR INFRAVERMELHO OU LAÇO INDUTIVO, ALIMENTAÇÃO 110/220VAC</t>
  </si>
  <si>
    <t>04.03.02.01.005</t>
  </si>
  <si>
    <t>ANTENA UHF, DISTÂNCIA DA LEITURA DE 8 M, COMUNICAÇÃO RS485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</si>
</sst>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&quot;R$&quot;* #,##0.00_-;\-&quot;R$&quot;* #,##0.00_-;_-&quot;R$&quot;* &quot;-&quot;??_-;_-@_-"/>
    <numFmt numFmtId="166" formatCode="_-[$R$-416]\ * #,##0.00_-;\-[$R$-416]\ * #,##0.00_-;_-[$R$-416]\ * &quot;-&quot;??_-;_-@_-"/>
  </numFmts>
  <fonts count="4">
    <font>
      <sz val="11"/>
      <color theme="1"/>
      <name val="Aptos Narrow"/>
      <family val="2"/>
      <scheme val="minor"/>
    </font>
    <font>
      <sz val="10"/>
      <name val="Helv"/>
      <charset val="204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/>
    <xf numFmtId="44" fontId="2" fillId="0" borderId="0" applyFont="0" applyFill="0" applyBorder="0" applyAlignment="0" applyProtection="0"/>
    <xf numFmtId="166" fontId="2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</cellXfs>
  <cellStyles count="9">
    <cellStyle name="Estilo 1" xfId="3" xr:uid="{865A25B4-1FFB-4368-9392-D0DCC891FB6C}"/>
    <cellStyle name="Moeda 2" xfId="7" xr:uid="{16D74C35-AFF0-40BA-B844-233B4CE33E39}"/>
    <cellStyle name="Normal" xfId="0" builtinId="0"/>
    <cellStyle name="Normal 2 2" xfId="6" xr:uid="{1EF2CE73-1F17-4C81-A1F0-E53E93EA078A}"/>
    <cellStyle name="Normal 5" xfId="8" xr:uid="{7F26F2EE-9420-4958-A856-28C01292E688}"/>
    <cellStyle name="Separador de milhares 2" xfId="2" xr:uid="{4D780C0F-2885-4651-B9DB-62393A4EC3B3}"/>
    <cellStyle name="Separador de milhares 2 2" xfId="4" xr:uid="{4FB87380-6A06-4AEA-B501-191CC2DFA45E}"/>
    <cellStyle name="Vírgula 2" xfId="1" xr:uid="{8E514C6B-8621-4EC6-9448-CDD8FF6CCD43}"/>
    <cellStyle name="Vírgula 2 4" xfId="5" xr:uid="{9B6B4136-7BD6-48C6-9513-D8698D4A103E}"/>
  </cellStyles>
  <dxfs count="1">
    <dxf>
      <numFmt numFmtId="165" formatCode="_-&quot;R$&quot;* #,##0.00_-;\-&quot;R$&quot;* #,##0.00_-;_-&quot;R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ávio Lopes Xavier" refreshedDate="45888.513720486109" createdVersion="8" refreshedVersion="8" minRefreshableVersion="3" recordCount="188" xr:uid="{C4DB8E4A-318F-4E13-9814-C03E4EE1C2BA}">
  <cacheSource type="worksheet">
    <worksheetSource ref="B19:E207" sheet="INFRAERO"/>
  </cacheSource>
  <cacheFields count="4">
    <cacheField name="ITEM" numFmtId="0">
      <sharedItems containsSemiMixedTypes="0" containsString="0" containsNumber="1" containsInteger="1" minValue="1" maxValue="189"/>
    </cacheField>
    <cacheField name="GRUPO DE ITENS" numFmtId="0">
      <sharedItems count="30">
        <s v="ELETROCALHA E ACESSÓRIOS"/>
        <s v="ELETROTUDOS E ACESSÓRIOS"/>
        <s v="CONDULETES"/>
        <s v="REDE DE DUTOS"/>
        <s v="TOMADAS E ACESSÓRIOS"/>
        <s v="QUADROS ELÉTRICOS"/>
        <s v="DISJUNTORES"/>
        <s v="CABO ELÉTRICO"/>
        <s v="NO-BREAK"/>
        <s v="PERFILADO E ACESSÓRIOS"/>
        <s v="POSTES METÁLICOS"/>
        <s v="REDE ÓTICA"/>
        <s v="RACK"/>
        <s v="DIO"/>
        <s v="PATCH PANEL"/>
        <s v="ORGANIZADOR HORIZONTAL"/>
        <s v="GRAMPOS PARA ORG. VERTICAL"/>
        <s v="SWITCH"/>
        <s v="CORDÃO ÓTICO"/>
        <s v="PATCH CORD"/>
        <s v="CHASSI PARA CONV. DE MÍDIA"/>
        <s v="CONV. DE MÍDIA E INJETOR POE"/>
        <s v="TERM. ÓTICO E CONV. MÍDIA"/>
        <s v="CABEAMENTO HORIZONTAL"/>
        <s v="CONTROLE DE ACESSO DE PESSOAS"/>
        <s v="CONTROLE DE ACESSO DE VEÍCULOS"/>
        <s v="PLAT. DE GER. DO SIST. CONTROLE DE ACESSO"/>
        <s v="STVV- CÂMERAS DE VÍDEO E ACESSÓRIOS"/>
        <s v="STVV - PLATAFORMA DE GESTÃO"/>
        <s v="GESTÃO DE PREV. DOS PASSAGEIROS"/>
      </sharedItems>
    </cacheField>
    <cacheField name="COD. EDITAL" numFmtId="0">
      <sharedItems/>
    </cacheField>
    <cacheField name="BAM" numFmtId="0">
      <sharedItems containsBlank="1" count="2">
        <s v="DISPENS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ávio Lopes Xavier" refreshedDate="45888.592291319444" createdVersion="8" refreshedVersion="8" minRefreshableVersion="3" recordCount="188" xr:uid="{76F7BE6E-38DC-4F75-9523-F271CC2A78D6}">
  <cacheSource type="worksheet">
    <worksheetSource ref="C19:K207" sheet="INFRAERO"/>
  </cacheSource>
  <cacheFields count="9">
    <cacheField name="GRUPO DE ITENS" numFmtId="0">
      <sharedItems/>
    </cacheField>
    <cacheField name="COD. EDITAL" numFmtId="0">
      <sharedItems/>
    </cacheField>
    <cacheField name="BAM" numFmtId="0">
      <sharedItems containsBlank="1" count="2">
        <s v="DISPENSADO"/>
        <m/>
      </sharedItems>
    </cacheField>
    <cacheField name="FABRICANTE" numFmtId="0">
      <sharedItems containsNonDate="0" containsString="0" containsBlank="1"/>
    </cacheField>
    <cacheField name="DESCRIÇÃO DOS MATERIAIS" numFmtId="0">
      <sharedItems/>
    </cacheField>
    <cacheField name="MODELO" numFmtId="0">
      <sharedItems containsNonDate="0" containsString="0" containsBlank="1"/>
    </cacheField>
    <cacheField name="UN" numFmtId="0">
      <sharedItems/>
    </cacheField>
    <cacheField name="QTD" numFmtId="0">
      <sharedItems containsSemiMixedTypes="0" containsString="0" containsNumber="1" containsInteger="1" minValue="1" maxValue="31258"/>
    </cacheField>
    <cacheField name="Custo Unitário Previsto" numFmtId="0">
      <sharedItems containsString="0" containsBlank="1" containsNumber="1" minValue="2.44" maxValue="1949201.221604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ávio Lopes Xavier" refreshedDate="45888.592854976851" createdVersion="8" refreshedVersion="8" minRefreshableVersion="3" recordCount="188" xr:uid="{77F01B97-C33E-4FCD-B9E3-531D0C2E1FB0}">
  <cacheSource type="worksheet">
    <worksheetSource ref="B19:L207" sheet="INFRAERO"/>
  </cacheSource>
  <cacheFields count="11">
    <cacheField name="ITEM" numFmtId="0">
      <sharedItems containsSemiMixedTypes="0" containsString="0" containsNumber="1" containsInteger="1" minValue="1" maxValue="189"/>
    </cacheField>
    <cacheField name="GRUPO DE ITENS" numFmtId="0">
      <sharedItems/>
    </cacheField>
    <cacheField name="COD. EDITAL" numFmtId="0">
      <sharedItems/>
    </cacheField>
    <cacheField name="BAM" numFmtId="0">
      <sharedItems containsBlank="1" count="2">
        <s v="DISPENSADO"/>
        <m/>
      </sharedItems>
    </cacheField>
    <cacheField name="FABRICANTE" numFmtId="0">
      <sharedItems containsNonDate="0" containsString="0" containsBlank="1"/>
    </cacheField>
    <cacheField name="DESCRIÇÃO DOS MATERIAIS" numFmtId="0">
      <sharedItems/>
    </cacheField>
    <cacheField name="MODELO" numFmtId="0">
      <sharedItems containsNonDate="0" containsString="0" containsBlank="1"/>
    </cacheField>
    <cacheField name="UN" numFmtId="0">
      <sharedItems/>
    </cacheField>
    <cacheField name="QTD" numFmtId="0">
      <sharedItems containsSemiMixedTypes="0" containsString="0" containsNumber="1" containsInteger="1" minValue="1" maxValue="31258"/>
    </cacheField>
    <cacheField name="Custo Unitário Previsto" numFmtId="0">
      <sharedItems containsString="0" containsBlank="1" containsNumber="1" minValue="2.44" maxValue="1949201.2216049999"/>
    </cacheField>
    <cacheField name="Custo Total Previsto" numFmtId="165">
      <sharedItems containsString="0" containsBlank="1" containsNumber="1" minValue="6.96" maxValue="1949201.221604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n v="1"/>
    <x v="0"/>
    <s v="03.01.00.00.001"/>
    <x v="0"/>
  </r>
  <r>
    <n v="2"/>
    <x v="0"/>
    <s v="03.01.00.00.002"/>
    <x v="0"/>
  </r>
  <r>
    <n v="3"/>
    <x v="1"/>
    <s v="03.01.02.00.001"/>
    <x v="0"/>
  </r>
  <r>
    <n v="4"/>
    <x v="1"/>
    <s v="03.01.02.00.002"/>
    <x v="0"/>
  </r>
  <r>
    <n v="5"/>
    <x v="1"/>
    <s v="03.01.02.00.003"/>
    <x v="0"/>
  </r>
  <r>
    <n v="6"/>
    <x v="1"/>
    <s v="03.01.02.00.004"/>
    <x v="0"/>
  </r>
  <r>
    <n v="7"/>
    <x v="1"/>
    <s v="03.01.02.00.005"/>
    <x v="0"/>
  </r>
  <r>
    <n v="8"/>
    <x v="1"/>
    <s v="03.01.02.00.006"/>
    <x v="0"/>
  </r>
  <r>
    <n v="9"/>
    <x v="1"/>
    <s v="03.01.02.00.007"/>
    <x v="0"/>
  </r>
  <r>
    <n v="10"/>
    <x v="1"/>
    <s v="03.01.02.00.008"/>
    <x v="0"/>
  </r>
  <r>
    <n v="11"/>
    <x v="1"/>
    <s v="03.01.02.00.009"/>
    <x v="0"/>
  </r>
  <r>
    <n v="12"/>
    <x v="1"/>
    <s v="03.01.02.00.010"/>
    <x v="0"/>
  </r>
  <r>
    <n v="13"/>
    <x v="1"/>
    <s v="03.01.02.00.011"/>
    <x v="0"/>
  </r>
  <r>
    <n v="14"/>
    <x v="2"/>
    <s v="03.01.03.00.001"/>
    <x v="0"/>
  </r>
  <r>
    <n v="15"/>
    <x v="2"/>
    <s v="03.01.03.00.002"/>
    <x v="0"/>
  </r>
  <r>
    <n v="16"/>
    <x v="2"/>
    <s v="03.01.03.00.003"/>
    <x v="0"/>
  </r>
  <r>
    <n v="17"/>
    <x v="2"/>
    <s v="03.01.03.00.004"/>
    <x v="0"/>
  </r>
  <r>
    <n v="18"/>
    <x v="2"/>
    <s v="03.01.03.00.005"/>
    <x v="0"/>
  </r>
  <r>
    <n v="19"/>
    <x v="2"/>
    <s v="03.01.03.00.006"/>
    <x v="0"/>
  </r>
  <r>
    <n v="20"/>
    <x v="2"/>
    <s v="03.01.03.00.007"/>
    <x v="0"/>
  </r>
  <r>
    <n v="21"/>
    <x v="2"/>
    <s v="03.01.03.00.008"/>
    <x v="0"/>
  </r>
  <r>
    <n v="22"/>
    <x v="2"/>
    <s v="03.01.03.00.009"/>
    <x v="0"/>
  </r>
  <r>
    <n v="23"/>
    <x v="2"/>
    <s v="03.01.03.00.010"/>
    <x v="0"/>
  </r>
  <r>
    <n v="24"/>
    <x v="2"/>
    <s v="03.01.03.00.011"/>
    <x v="0"/>
  </r>
  <r>
    <n v="25"/>
    <x v="2"/>
    <s v="03.01.03.00.012"/>
    <x v="0"/>
  </r>
  <r>
    <n v="26"/>
    <x v="2"/>
    <s v="03.01.03.00.013"/>
    <x v="0"/>
  </r>
  <r>
    <n v="27"/>
    <x v="2"/>
    <s v="03.01.03.00.014"/>
    <x v="0"/>
  </r>
  <r>
    <n v="28"/>
    <x v="2"/>
    <s v="03.01.03.00.015"/>
    <x v="0"/>
  </r>
  <r>
    <n v="29"/>
    <x v="2"/>
    <s v="03.01.03.00.016"/>
    <x v="0"/>
  </r>
  <r>
    <n v="30"/>
    <x v="2"/>
    <s v="03.01.03.00.017"/>
    <x v="0"/>
  </r>
  <r>
    <n v="31"/>
    <x v="2"/>
    <s v="03.01.03.00.018"/>
    <x v="0"/>
  </r>
  <r>
    <n v="32"/>
    <x v="2"/>
    <s v="03.01.03.00.019"/>
    <x v="0"/>
  </r>
  <r>
    <n v="33"/>
    <x v="2"/>
    <s v="03.01.03.00.020"/>
    <x v="0"/>
  </r>
  <r>
    <n v="34"/>
    <x v="3"/>
    <s v="03.01.04.00.001"/>
    <x v="0"/>
  </r>
  <r>
    <n v="35"/>
    <x v="3"/>
    <s v="03.01.04.00.002"/>
    <x v="0"/>
  </r>
  <r>
    <n v="36"/>
    <x v="3"/>
    <s v="03.01.04.00.003"/>
    <x v="0"/>
  </r>
  <r>
    <n v="37"/>
    <x v="3"/>
    <s v="03.01.04.00.004"/>
    <x v="0"/>
  </r>
  <r>
    <n v="38"/>
    <x v="4"/>
    <s v="03.02.01.00.001"/>
    <x v="0"/>
  </r>
  <r>
    <n v="39"/>
    <x v="4"/>
    <s v="03.02.01.00.002"/>
    <x v="0"/>
  </r>
  <r>
    <n v="40"/>
    <x v="5"/>
    <s v="03.02.02.01.001"/>
    <x v="1"/>
  </r>
  <r>
    <n v="41"/>
    <x v="5"/>
    <s v="03.02.02.01.002"/>
    <x v="1"/>
  </r>
  <r>
    <n v="42"/>
    <x v="5"/>
    <s v="03.02.02.01.003"/>
    <x v="1"/>
  </r>
  <r>
    <n v="43"/>
    <x v="5"/>
    <s v="03.02.02.01.004"/>
    <x v="1"/>
  </r>
  <r>
    <n v="44"/>
    <x v="5"/>
    <s v="03.02.02.01.005"/>
    <x v="1"/>
  </r>
  <r>
    <n v="45"/>
    <x v="5"/>
    <s v="03.02.02.01.006"/>
    <x v="1"/>
  </r>
  <r>
    <n v="46"/>
    <x v="5"/>
    <s v="03.02.02.01.007"/>
    <x v="1"/>
  </r>
  <r>
    <n v="47"/>
    <x v="5"/>
    <s v="03.02.02.01.008"/>
    <x v="1"/>
  </r>
  <r>
    <n v="48"/>
    <x v="6"/>
    <s v="03.02.02.02.001"/>
    <x v="0"/>
  </r>
  <r>
    <n v="49"/>
    <x v="6"/>
    <s v="03.02.02.02.002"/>
    <x v="0"/>
  </r>
  <r>
    <n v="50"/>
    <x v="7"/>
    <s v="03.02.03.00.001"/>
    <x v="0"/>
  </r>
  <r>
    <n v="51"/>
    <x v="7"/>
    <s v="03.02.03.00.002"/>
    <x v="0"/>
  </r>
  <r>
    <n v="52"/>
    <x v="7"/>
    <s v="03.02.03.00.003"/>
    <x v="0"/>
  </r>
  <r>
    <n v="53"/>
    <x v="7"/>
    <s v="03.02.03.00.004"/>
    <x v="0"/>
  </r>
  <r>
    <n v="54"/>
    <x v="7"/>
    <s v="03.02.03.00.005"/>
    <x v="0"/>
  </r>
  <r>
    <n v="55"/>
    <x v="7"/>
    <s v="03.02.03.00.006"/>
    <x v="0"/>
  </r>
  <r>
    <n v="56"/>
    <x v="7"/>
    <s v="03.02.03.00.007"/>
    <x v="0"/>
  </r>
  <r>
    <n v="57"/>
    <x v="8"/>
    <s v="03.02.04.00.001"/>
    <x v="1"/>
  </r>
  <r>
    <n v="58"/>
    <x v="8"/>
    <s v="03.02.04.00.002"/>
    <x v="1"/>
  </r>
  <r>
    <n v="59"/>
    <x v="8"/>
    <s v="03.02.04.00.003"/>
    <x v="1"/>
  </r>
  <r>
    <n v="60"/>
    <x v="8"/>
    <s v="03.02.04.00.004"/>
    <x v="1"/>
  </r>
  <r>
    <n v="61"/>
    <x v="8"/>
    <s v="03.02.04.00.005"/>
    <x v="1"/>
  </r>
  <r>
    <n v="62"/>
    <x v="8"/>
    <s v="03.02.04.00.006"/>
    <x v="1"/>
  </r>
  <r>
    <n v="63"/>
    <x v="8"/>
    <s v="03.02.04.00.007"/>
    <x v="1"/>
  </r>
  <r>
    <n v="64"/>
    <x v="8"/>
    <s v="03.02.04.00.008"/>
    <x v="1"/>
  </r>
  <r>
    <n v="65"/>
    <x v="8"/>
    <s v="03.02.04.00.009"/>
    <x v="1"/>
  </r>
  <r>
    <n v="66"/>
    <x v="0"/>
    <s v="04.01.01.00.001"/>
    <x v="0"/>
  </r>
  <r>
    <n v="67"/>
    <x v="0"/>
    <s v="04.01.01.00.002"/>
    <x v="0"/>
  </r>
  <r>
    <n v="68"/>
    <x v="0"/>
    <s v="04.01.01.00.003"/>
    <x v="0"/>
  </r>
  <r>
    <n v="69"/>
    <x v="0"/>
    <s v="04.01.01.00.004"/>
    <x v="0"/>
  </r>
  <r>
    <n v="70"/>
    <x v="0"/>
    <s v="04.01.01.00.005"/>
    <x v="0"/>
  </r>
  <r>
    <n v="71"/>
    <x v="0"/>
    <s v="04.01.01.00.006"/>
    <x v="0"/>
  </r>
  <r>
    <n v="72"/>
    <x v="9"/>
    <s v="04.01.02.00.001"/>
    <x v="0"/>
  </r>
  <r>
    <n v="73"/>
    <x v="9"/>
    <s v="04.01.00.00.002"/>
    <x v="0"/>
  </r>
  <r>
    <n v="74"/>
    <x v="9"/>
    <s v="04.01.00.00.003"/>
    <x v="0"/>
  </r>
  <r>
    <n v="75"/>
    <x v="1"/>
    <s v="04.01.03.00.001"/>
    <x v="0"/>
  </r>
  <r>
    <n v="76"/>
    <x v="1"/>
    <s v="04.01.03.00.002"/>
    <x v="0"/>
  </r>
  <r>
    <n v="77"/>
    <x v="1"/>
    <s v="04.01.03.00.003"/>
    <x v="0"/>
  </r>
  <r>
    <n v="78"/>
    <x v="1"/>
    <s v="04.01.03.00.004"/>
    <x v="0"/>
  </r>
  <r>
    <n v="79"/>
    <x v="1"/>
    <s v="04.01.03.00.005"/>
    <x v="0"/>
  </r>
  <r>
    <n v="80"/>
    <x v="1"/>
    <s v="04.01.03.00.006"/>
    <x v="0"/>
  </r>
  <r>
    <n v="81"/>
    <x v="1"/>
    <s v="04.01.03.00.007"/>
    <x v="0"/>
  </r>
  <r>
    <n v="82"/>
    <x v="1"/>
    <s v="04.01.03.00.008"/>
    <x v="0"/>
  </r>
  <r>
    <n v="83"/>
    <x v="1"/>
    <s v="04.01.03.00.009"/>
    <x v="0"/>
  </r>
  <r>
    <n v="84"/>
    <x v="1"/>
    <s v="04.01.03.00.010"/>
    <x v="0"/>
  </r>
  <r>
    <n v="85"/>
    <x v="1"/>
    <s v="04.01.03.00.011"/>
    <x v="0"/>
  </r>
  <r>
    <n v="86"/>
    <x v="2"/>
    <s v="04.01.04.00.001"/>
    <x v="0"/>
  </r>
  <r>
    <n v="87"/>
    <x v="2"/>
    <s v="04.01.04.00.002"/>
    <x v="0"/>
  </r>
  <r>
    <n v="88"/>
    <x v="2"/>
    <s v="04.01.04.00.003"/>
    <x v="0"/>
  </r>
  <r>
    <n v="89"/>
    <x v="2"/>
    <s v="04.01.04.00.004"/>
    <x v="0"/>
  </r>
  <r>
    <n v="90"/>
    <x v="2"/>
    <s v="04.01.04.00.005"/>
    <x v="0"/>
  </r>
  <r>
    <n v="91"/>
    <x v="2"/>
    <s v="04.01.04.00.006"/>
    <x v="0"/>
  </r>
  <r>
    <n v="92"/>
    <x v="2"/>
    <s v="04.01.04.00.007"/>
    <x v="0"/>
  </r>
  <r>
    <n v="93"/>
    <x v="2"/>
    <s v="04.01.04.00.008"/>
    <x v="0"/>
  </r>
  <r>
    <n v="94"/>
    <x v="2"/>
    <s v="04.01.04.00.009"/>
    <x v="0"/>
  </r>
  <r>
    <n v="95"/>
    <x v="2"/>
    <s v="04.01.04.00.010"/>
    <x v="0"/>
  </r>
  <r>
    <n v="96"/>
    <x v="2"/>
    <s v="04.01.04.00.011"/>
    <x v="0"/>
  </r>
  <r>
    <n v="97"/>
    <x v="2"/>
    <s v="04.01.04.00.012"/>
    <x v="0"/>
  </r>
  <r>
    <n v="98"/>
    <x v="2"/>
    <s v="04.01.04.00.013"/>
    <x v="0"/>
  </r>
  <r>
    <n v="99"/>
    <x v="3"/>
    <s v="04.01.05.00.001"/>
    <x v="0"/>
  </r>
  <r>
    <n v="100"/>
    <x v="3"/>
    <s v="04.01.05.00.002"/>
    <x v="0"/>
  </r>
  <r>
    <n v="101"/>
    <x v="3"/>
    <s v="04.01.05.00.003"/>
    <x v="0"/>
  </r>
  <r>
    <n v="102"/>
    <x v="3"/>
    <s v="04.01.05.00.004"/>
    <x v="0"/>
  </r>
  <r>
    <n v="103"/>
    <x v="10"/>
    <s v="04.01.06.00.001"/>
    <x v="0"/>
  </r>
  <r>
    <n v="104"/>
    <x v="10"/>
    <s v="04.01.06.00.002"/>
    <x v="0"/>
  </r>
  <r>
    <n v="105"/>
    <x v="10"/>
    <s v="04.01.06.00.003"/>
    <x v="0"/>
  </r>
  <r>
    <n v="106"/>
    <x v="10"/>
    <s v="04.01.06.00.004"/>
    <x v="0"/>
  </r>
  <r>
    <n v="107"/>
    <x v="11"/>
    <s v="04.02.01.00.001"/>
    <x v="0"/>
  </r>
  <r>
    <n v="108"/>
    <x v="11"/>
    <s v="04.02.01.00.002"/>
    <x v="0"/>
  </r>
  <r>
    <n v="109"/>
    <x v="12"/>
    <s v="04.02.02.01.001"/>
    <x v="0"/>
  </r>
  <r>
    <n v="110"/>
    <x v="12"/>
    <s v="04.02.02.01.002"/>
    <x v="0"/>
  </r>
  <r>
    <n v="111"/>
    <x v="12"/>
    <s v="04.02.02.01.003"/>
    <x v="0"/>
  </r>
  <r>
    <n v="112"/>
    <x v="12"/>
    <s v="04.02.02.01.004"/>
    <x v="0"/>
  </r>
  <r>
    <n v="113"/>
    <x v="13"/>
    <s v="04.02.02.02.001"/>
    <x v="0"/>
  </r>
  <r>
    <n v="114"/>
    <x v="13"/>
    <s v="04.02.02.02.002"/>
    <x v="0"/>
  </r>
  <r>
    <n v="115"/>
    <x v="13"/>
    <s v="04.02.02.02.003"/>
    <x v="0"/>
  </r>
  <r>
    <n v="116"/>
    <x v="14"/>
    <s v="04.02.02.03.001"/>
    <x v="0"/>
  </r>
  <r>
    <n v="117"/>
    <x v="15"/>
    <s v="04.02.02.04.001"/>
    <x v="0"/>
  </r>
  <r>
    <n v="118"/>
    <x v="16"/>
    <s v="04.02.02.05.001"/>
    <x v="0"/>
  </r>
  <r>
    <n v="119"/>
    <x v="17"/>
    <s v="04.02.02.06.001"/>
    <x v="1"/>
  </r>
  <r>
    <n v="120"/>
    <x v="17"/>
    <s v="04.02.02.06.002"/>
    <x v="1"/>
  </r>
  <r>
    <n v="121"/>
    <x v="17"/>
    <s v="04.02.02.06.003"/>
    <x v="1"/>
  </r>
  <r>
    <n v="122"/>
    <x v="18"/>
    <s v="04.02.02.07.001"/>
    <x v="0"/>
  </r>
  <r>
    <n v="123"/>
    <x v="18"/>
    <s v="04.02.02.07.002"/>
    <x v="0"/>
  </r>
  <r>
    <n v="124"/>
    <x v="18"/>
    <s v="04.02.02.07.003"/>
    <x v="0"/>
  </r>
  <r>
    <n v="125"/>
    <x v="18"/>
    <s v="04.02.02.07.004"/>
    <x v="0"/>
  </r>
  <r>
    <n v="126"/>
    <x v="18"/>
    <s v="04.02.02.07.005"/>
    <x v="0"/>
  </r>
  <r>
    <n v="127"/>
    <x v="18"/>
    <s v="04.02.02.07.006"/>
    <x v="0"/>
  </r>
  <r>
    <n v="128"/>
    <x v="18"/>
    <s v="04.02.02.07.007"/>
    <x v="0"/>
  </r>
  <r>
    <n v="129"/>
    <x v="18"/>
    <s v="04.02.02.07.008"/>
    <x v="0"/>
  </r>
  <r>
    <n v="130"/>
    <x v="19"/>
    <s v="04.02.02.08.001"/>
    <x v="0"/>
  </r>
  <r>
    <n v="131"/>
    <x v="20"/>
    <s v="04.02.02.09.001"/>
    <x v="0"/>
  </r>
  <r>
    <n v="132"/>
    <x v="21"/>
    <s v="04.02.02.10.001"/>
    <x v="0"/>
  </r>
  <r>
    <n v="133"/>
    <x v="21"/>
    <s v="04.02.02.10.002"/>
    <x v="0"/>
  </r>
  <r>
    <n v="134"/>
    <x v="22"/>
    <s v="04.02.02.11.001"/>
    <x v="0"/>
  </r>
  <r>
    <n v="135"/>
    <x v="22"/>
    <s v="04.02.02.11.002"/>
    <x v="0"/>
  </r>
  <r>
    <n v="136"/>
    <x v="22"/>
    <s v="04.02.02.11.003"/>
    <x v="0"/>
  </r>
  <r>
    <n v="137"/>
    <x v="23"/>
    <s v="04.02.03.00.001"/>
    <x v="0"/>
  </r>
  <r>
    <n v="138"/>
    <x v="23"/>
    <s v="04.02.03.00.002"/>
    <x v="0"/>
  </r>
  <r>
    <n v="139"/>
    <x v="23"/>
    <s v="04.02.03.00.003"/>
    <x v="0"/>
  </r>
  <r>
    <n v="140"/>
    <x v="23"/>
    <s v="04.02.03.00.004"/>
    <x v="0"/>
  </r>
  <r>
    <n v="141"/>
    <x v="24"/>
    <s v="04.03.01.01.001"/>
    <x v="1"/>
  </r>
  <r>
    <n v="142"/>
    <x v="24"/>
    <s v="04.03.01.01.002"/>
    <x v="1"/>
  </r>
  <r>
    <n v="143"/>
    <x v="24"/>
    <s v="04.03.01.01.003"/>
    <x v="1"/>
  </r>
  <r>
    <n v="144"/>
    <x v="24"/>
    <s v="04.03.01.01.004"/>
    <x v="0"/>
  </r>
  <r>
    <n v="145"/>
    <x v="24"/>
    <s v="04.03.01.01.005"/>
    <x v="0"/>
  </r>
  <r>
    <n v="146"/>
    <x v="24"/>
    <s v="04.03.01.01.006"/>
    <x v="0"/>
  </r>
  <r>
    <n v="147"/>
    <x v="24"/>
    <s v="04.03.01.01.007"/>
    <x v="0"/>
  </r>
  <r>
    <n v="148"/>
    <x v="24"/>
    <s v="04.03.01.01.008"/>
    <x v="0"/>
  </r>
  <r>
    <n v="149"/>
    <x v="24"/>
    <s v="04.03.01.01.009"/>
    <x v="0"/>
  </r>
  <r>
    <n v="150"/>
    <x v="24"/>
    <s v="04.03.01.02.001"/>
    <x v="0"/>
  </r>
  <r>
    <n v="151"/>
    <x v="24"/>
    <s v="04.03.01.02.002"/>
    <x v="0"/>
  </r>
  <r>
    <n v="152"/>
    <x v="24"/>
    <s v="04.03.01.02.003"/>
    <x v="0"/>
  </r>
  <r>
    <n v="153"/>
    <x v="24"/>
    <s v="04.03.01.02.004"/>
    <x v="0"/>
  </r>
  <r>
    <n v="154"/>
    <x v="24"/>
    <s v="04.03.01.02.005"/>
    <x v="0"/>
  </r>
  <r>
    <n v="155"/>
    <x v="25"/>
    <s v="04.03.02.01.001"/>
    <x v="1"/>
  </r>
  <r>
    <n v="156"/>
    <x v="25"/>
    <s v="04.03.02.01.002"/>
    <x v="1"/>
  </r>
  <r>
    <n v="157"/>
    <x v="25"/>
    <s v="04.03.02.01.003"/>
    <x v="1"/>
  </r>
  <r>
    <n v="158"/>
    <x v="25"/>
    <s v="04.03.02.01.004"/>
    <x v="1"/>
  </r>
  <r>
    <n v="159"/>
    <x v="25"/>
    <s v="04.03.02.01.005"/>
    <x v="1"/>
  </r>
  <r>
    <n v="160"/>
    <x v="25"/>
    <s v="04.03.02.01.006"/>
    <x v="0"/>
  </r>
  <r>
    <n v="161"/>
    <x v="25"/>
    <s v="04.03.02.01.007"/>
    <x v="0"/>
  </r>
  <r>
    <n v="162"/>
    <x v="25"/>
    <s v="04.03.02.02.001"/>
    <x v="0"/>
  </r>
  <r>
    <n v="163"/>
    <x v="25"/>
    <s v="04.03.02.03.001"/>
    <x v="1"/>
  </r>
  <r>
    <n v="164"/>
    <x v="26"/>
    <s v="04.03.03.01.001"/>
    <x v="1"/>
  </r>
  <r>
    <n v="165"/>
    <x v="26"/>
    <s v="04.03.03.02.001"/>
    <x v="1"/>
  </r>
  <r>
    <n v="166"/>
    <x v="26"/>
    <s v="04.03.03.02.002"/>
    <x v="1"/>
  </r>
  <r>
    <n v="167"/>
    <x v="27"/>
    <s v="04.04.01.00.001"/>
    <x v="1"/>
  </r>
  <r>
    <n v="168"/>
    <x v="27"/>
    <s v="04.04.01.00.002"/>
    <x v="1"/>
  </r>
  <r>
    <n v="169"/>
    <x v="27"/>
    <s v="04.04.01.00.003"/>
    <x v="1"/>
  </r>
  <r>
    <n v="170"/>
    <x v="27"/>
    <s v="04.04.01.00.004"/>
    <x v="1"/>
  </r>
  <r>
    <n v="171"/>
    <x v="27"/>
    <s v="04.04.01.00.005"/>
    <x v="1"/>
  </r>
  <r>
    <n v="172"/>
    <x v="27"/>
    <s v="04.04.01.00.006"/>
    <x v="1"/>
  </r>
  <r>
    <n v="173"/>
    <x v="27"/>
    <s v="04.04.01.00.007"/>
    <x v="1"/>
  </r>
  <r>
    <n v="174"/>
    <x v="27"/>
    <s v="04.04.01.00.008"/>
    <x v="1"/>
  </r>
  <r>
    <n v="175"/>
    <x v="27"/>
    <s v="04.04.01.00.009"/>
    <x v="1"/>
  </r>
  <r>
    <n v="176"/>
    <x v="27"/>
    <s v="04.04.01.00.010"/>
    <x v="1"/>
  </r>
  <r>
    <n v="177"/>
    <x v="27"/>
    <s v="04.04.01.00.011"/>
    <x v="1"/>
  </r>
  <r>
    <n v="178"/>
    <x v="27"/>
    <s v="04.04.01.00.012"/>
    <x v="1"/>
  </r>
  <r>
    <n v="179"/>
    <x v="27"/>
    <s v="04.04.01.00.013"/>
    <x v="1"/>
  </r>
  <r>
    <n v="180"/>
    <x v="27"/>
    <s v="04.04.01.00.014"/>
    <x v="0"/>
  </r>
  <r>
    <n v="181"/>
    <x v="27"/>
    <s v="04.04.01.00.015"/>
    <x v="0"/>
  </r>
  <r>
    <n v="182"/>
    <x v="28"/>
    <s v="04.04.02.00.001"/>
    <x v="1"/>
  </r>
  <r>
    <n v="183"/>
    <x v="28"/>
    <s v="04.04.02.00.002"/>
    <x v="1"/>
  </r>
  <r>
    <n v="184"/>
    <x v="28"/>
    <s v="04.04.02.00.003"/>
    <x v="1"/>
  </r>
  <r>
    <n v="185"/>
    <x v="28"/>
    <s v="04.04.02.00.004"/>
    <x v="1"/>
  </r>
  <r>
    <n v="186"/>
    <x v="28"/>
    <s v="04.04.02.00.005"/>
    <x v="1"/>
  </r>
  <r>
    <n v="187"/>
    <x v="28"/>
    <s v="04.04.02.00.006"/>
    <x v="1"/>
  </r>
  <r>
    <n v="189"/>
    <x v="29"/>
    <s v="04.04.03.00.00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ELETROCALHA E ACESSÓRIOS"/>
    <s v="03.01.00.00.001"/>
    <x v="0"/>
    <m/>
    <s v="Saída lateral de eletrocalha para eletroduto, 3/4&quot;, galvanizada a fogo por imersão, acompanhada de parafuso cabeça lentilha, porca  e arruela, Ref. MEGA ou equivalente técnico"/>
    <m/>
    <s v="und"/>
    <n v="18"/>
    <n v="2.44"/>
  </r>
  <r>
    <s v="ELETROCALHA E ACESSÓRIOS"/>
    <s v="03.01.00.00.002"/>
    <x v="0"/>
    <m/>
    <s v="Saída lateral de eletrocalha para eletroduto, 1&quot;, galvanizada a fogo por imersão, acompanhada de parafuso cabeça lentilha, porca  e arruela, Ref. MEGA ou equivalente técnico"/>
    <m/>
    <s v="und"/>
    <n v="5"/>
    <n v="5"/>
  </r>
  <r>
    <s v="ELETROTUDOS E ACESSÓRIOS"/>
    <s v="03.01.02.00.001"/>
    <x v="0"/>
    <m/>
    <s v="Eletroduto de aço galvanizado a fogo por imersão, diâmetro 3/4&quot;, fabricado conforme NBR5598, acompanhado de todos os acessórios necessários a sua instalação, Ref. Apolo ou equivalente técnico"/>
    <m/>
    <s v="m"/>
    <n v="3522"/>
    <n v="20.64"/>
  </r>
  <r>
    <s v="ELETROTUDOS E ACESSÓRIOS"/>
    <s v="03.01.02.00.002"/>
    <x v="0"/>
    <m/>
    <s v="Eletroduto de aço galvanizado a fogo por imersão, diâmetro 1&quot;, fabricado conforme NBR5598, acompanhado de todos os acessórios necessários a sua instalação, Ref. Apolo ou equivalente técnico"/>
    <m/>
    <s v="m"/>
    <n v="38"/>
    <n v="25.166666666666668"/>
  </r>
  <r>
    <s v="ELETROTUDOS E ACESSÓRIOS"/>
    <s v="03.01.02.00.003"/>
    <x v="0"/>
    <m/>
    <s v="Eletroduto de aço galvanizado a fogo por imersão, diâmetro 1 1/2&quot;, fabricado conforme NBR5598, acompanhado de todos os acessórios necessários a sua instalação, Ref. Apolo ou equivalente técnico"/>
    <m/>
    <s v="m"/>
    <n v="120"/>
    <n v="42.533333333333331"/>
  </r>
  <r>
    <s v="ELETROTUDOS E ACESSÓRIOS"/>
    <s v="03.01.02.00.004"/>
    <x v="0"/>
    <m/>
    <s v="Eletroduto de aço galvanizado a fogo por imersão, diâmetro 2&quot;, fabricado conforme NBR5598, acompanhado de todos os acessórios necessários a sua instalação, Ref. Apolo ou equivalente técnico"/>
    <m/>
    <s v="m"/>
    <n v="23"/>
    <n v="56.223333333333329"/>
  </r>
  <r>
    <s v="ELETROTUDOS E ACESSÓRIOS"/>
    <s v="03.01.02.00.005"/>
    <x v="0"/>
    <m/>
    <s v="Eletroduto de aço galvanizado a fogo por imersão, diâmetro 3&quot;, fabricado conforme NBR5598, acompanhado de todos os acessórios necessários a sua instalação, Ref. Apolo ou equivalente técnico"/>
    <m/>
    <s v="m"/>
    <n v="36"/>
    <n v="102.86666666666667"/>
  </r>
  <r>
    <s v="ELETROTUDOS E ACESSÓRIOS"/>
    <s v="03.01.02.00.006"/>
    <x v="0"/>
    <m/>
    <s v="Eletroduto flexível, tipo Seal Tube,3/4&quot;, Ref. SPTF ou equivalente técnico"/>
    <m/>
    <s v="m"/>
    <n v="56"/>
    <n v="5.22"/>
  </r>
  <r>
    <s v="ELETROTUDOS E ACESSÓRIOS"/>
    <s v="03.01.02.00.007"/>
    <x v="0"/>
    <m/>
    <s v="Eletroduto flexível, tipo Seal Tube,1&quot;, Ref. SPTF ou equivalente técnico"/>
    <m/>
    <s v="m"/>
    <n v="7"/>
    <n v="7.32"/>
  </r>
  <r>
    <s v="ELETROTUDOS E ACESSÓRIOS"/>
    <s v="03.01.02.00.008"/>
    <x v="0"/>
    <m/>
    <s v="Eletroduto flexível, tipo Seal Tube, 1 1/2&quot;, Ref. SPTF ou equivalente técnico"/>
    <m/>
    <s v="m"/>
    <n v="2"/>
    <n v="13.71"/>
  </r>
  <r>
    <s v="ELETROTUDOS E ACESSÓRIOS"/>
    <s v="03.01.02.00.009"/>
    <x v="0"/>
    <m/>
    <s v="Box reto em alumínio fundido, 3/4&quot;, rosca BSP, Ref. Wetzel  ou equivalente técnico"/>
    <m/>
    <s v="und"/>
    <n v="32"/>
    <n v="9.9600000000000009"/>
  </r>
  <r>
    <s v="ELETROTUDOS E ACESSÓRIOS"/>
    <s v="03.01.02.00.010"/>
    <x v="0"/>
    <m/>
    <s v="Box reto em alumínio fundido, 1&quot;, rosca BSP, Ref. Wetzel  ou equivalente técnico"/>
    <m/>
    <s v="und"/>
    <n v="8"/>
    <n v="5.41"/>
  </r>
  <r>
    <s v="ELETROTUDOS E ACESSÓRIOS"/>
    <s v="03.01.02.00.011"/>
    <x v="0"/>
    <m/>
    <s v="Box reto em alumínio fundido, 1 1/2&quot;, rosca BSP, Ref. Wetzel  ou equivalente técnico"/>
    <m/>
    <s v="und"/>
    <n v="2"/>
    <n v="10.68"/>
  </r>
  <r>
    <s v="CONDULETES"/>
    <s v="03.01.03.00.001"/>
    <x v="0"/>
    <m/>
    <s v="Condulete em alumínio, diâmetro 3/4&quot;, tipo &quot;C&quot;, com tampa, Ref. Wetzel ou equivalente técnico"/>
    <m/>
    <s v="und"/>
    <n v="247"/>
    <n v="14.86"/>
  </r>
  <r>
    <s v="CONDULETES"/>
    <s v="03.01.03.00.002"/>
    <x v="0"/>
    <m/>
    <s v="Condulete em alumínio, diâmetro 3/4&quot;, tipo &quot;LL&quot;, com tampa, Ref. Wetzel ou equivalente técnico"/>
    <m/>
    <s v="und"/>
    <n v="49"/>
    <n v="14.86"/>
  </r>
  <r>
    <s v="CONDULETES"/>
    <s v="03.01.03.00.003"/>
    <x v="0"/>
    <m/>
    <s v="Condulete em alumínio, diâmetro 3/4&quot;, tipo &quot;LR&quot;, com tampa, Ref. Wetzel ou equivalente técnico"/>
    <m/>
    <s v="und"/>
    <n v="120"/>
    <n v="14.86"/>
  </r>
  <r>
    <s v="CONDULETES"/>
    <s v="03.01.03.00.004"/>
    <x v="0"/>
    <m/>
    <s v="Condulete em alumínio, diâmetro 3/4&quot;, tipo &quot;T&quot;, com tampa , Ref. Wetzel ou equivalente técnico"/>
    <m/>
    <s v="und"/>
    <n v="140"/>
    <n v="16.04"/>
  </r>
  <r>
    <s v="CONDULETES"/>
    <s v="03.01.03.00.005"/>
    <x v="0"/>
    <m/>
    <s v="Condulete em alumínio, diâmetro 3/4&quot;, tipo &quot;X&quot;, com tampa , Ref. Wetzel ou equivalente técnico"/>
    <m/>
    <s v="und"/>
    <n v="5"/>
    <n v="17.2"/>
  </r>
  <r>
    <s v="CONDULETES"/>
    <s v="03.01.03.00.006"/>
    <x v="0"/>
    <m/>
    <s v="Condulete em alumínio, diâmetro 1&quot;, tipo &quot;C&quot;, com tampa, Ref. Wetzel ou equivalente técnico"/>
    <m/>
    <s v="und"/>
    <n v="3"/>
    <n v="23.7"/>
  </r>
  <r>
    <s v="CONDULETES"/>
    <s v="03.01.03.00.007"/>
    <x v="0"/>
    <m/>
    <s v="Condulete em alumínio, diâmetro 1&quot;, tipo &quot;LL&quot;, com tampa, Ref. Wetzel ou equivalente técnico"/>
    <m/>
    <s v="und"/>
    <n v="3"/>
    <n v="23.7"/>
  </r>
  <r>
    <s v="CONDULETES"/>
    <s v="03.01.03.00.008"/>
    <x v="0"/>
    <m/>
    <s v="Condulete em alumínio, diâmetro 1&quot;, tipo &quot;LR&quot;, com tampa, Ref. Wetzel ou equivalente técnico"/>
    <m/>
    <s v="und"/>
    <n v="2"/>
    <n v="23.7"/>
  </r>
  <r>
    <s v="CONDULETES"/>
    <s v="03.01.03.00.009"/>
    <x v="0"/>
    <m/>
    <s v="Condulete em alumínio, diâmetro 1&quot;, tipo &quot;T&quot;, com tampa , Ref. Wetzel ou equivalente técnico"/>
    <m/>
    <s v="und"/>
    <n v="2"/>
    <n v="25.51"/>
  </r>
  <r>
    <s v="CONDULETES"/>
    <s v="03.01.03.00.010"/>
    <x v="0"/>
    <m/>
    <s v="Condulete em alumínio, diâmetro 1 1/2&quot;, tipo &quot;C&quot;, com tampa, Ref. Wetzel ou equivalente técnico"/>
    <m/>
    <s v="und"/>
    <n v="5"/>
    <n v="62.9"/>
  </r>
  <r>
    <s v="CONDULETES"/>
    <s v="03.01.03.00.011"/>
    <x v="0"/>
    <m/>
    <s v="Condulete em alumínio, diâmetro 1 1/2&quot;, tipo &quot;LL&quot;, com tampa, Ref. Wetzel ou equivalente técnico"/>
    <m/>
    <s v="und"/>
    <n v="8"/>
    <n v="62.9"/>
  </r>
  <r>
    <s v="CONDULETES"/>
    <s v="03.01.03.00.012"/>
    <x v="0"/>
    <m/>
    <s v="Condulete em alumínio, diâmetro 1 1/2&quot;, tipo &quot;LR&quot;, com tampa, Ref. Wetzel ou equivalente técnico"/>
    <m/>
    <s v="und"/>
    <n v="6"/>
    <n v="62.9"/>
  </r>
  <r>
    <s v="CONDULETES"/>
    <s v="03.01.03.00.013"/>
    <x v="0"/>
    <m/>
    <s v="Condulete em alumínio, diâmetro 1 1/2&quot;, tipo &quot;T&quot;, com tampa , Ref. Wetzel ou equivalente técnico"/>
    <m/>
    <s v="und"/>
    <n v="13"/>
    <n v="68.429999999999993"/>
  </r>
  <r>
    <s v="CONDULETES"/>
    <s v="03.01.03.00.014"/>
    <x v="0"/>
    <m/>
    <s v="Condulete em alumínio, diâmetro 1 1/2&quot;, tipo &quot;X&quot;, com tampa , Ref. Wetzel ou equivalente técnico"/>
    <m/>
    <s v="und"/>
    <n v="1"/>
    <n v="73.94"/>
  </r>
  <r>
    <s v="CONDULETES"/>
    <s v="03.01.03.00.015"/>
    <x v="0"/>
    <m/>
    <s v="Condulete em alumínio, diâmetro 2&quot;, tipo &quot;LL&quot;, com tampa, Ref. Wetzel ou equivalente técnico"/>
    <m/>
    <s v="und"/>
    <n v="1"/>
    <n v="80.69"/>
  </r>
  <r>
    <s v="CONDULETES"/>
    <s v="03.01.03.00.016"/>
    <x v="0"/>
    <m/>
    <s v="Condulete em alumínio, diâmetro 2&quot;, tipo &quot;T&quot;, com tampa , Ref. Wetzel ou equivalente técnico"/>
    <m/>
    <s v="und"/>
    <n v="2"/>
    <n v="87.78"/>
  </r>
  <r>
    <s v="CONDULETES"/>
    <s v="03.01.03.00.017"/>
    <x v="0"/>
    <m/>
    <s v="Condulete em alumínio, diâmetro 2&quot;, tipo &quot;X&quot;, com tampa , Ref. Wetzel ou equivalente técnico"/>
    <m/>
    <s v="und"/>
    <n v="1"/>
    <n v="94.89"/>
  </r>
  <r>
    <s v="CONDULETES"/>
    <s v="03.01.03.00.018"/>
    <x v="0"/>
    <m/>
    <s v="Condulete em alumínio, diâmetro 3&quot;, tipo &quot;LL&quot;, com tampa, Ref. Wetzel ou equivalente técnico"/>
    <m/>
    <s v="und"/>
    <n v="1"/>
    <n v="279.64"/>
  </r>
  <r>
    <s v="CONDULETES"/>
    <s v="03.01.03.00.019"/>
    <x v="0"/>
    <m/>
    <s v="Condulete em alumínio, diâmetro 3&quot;, tipo &quot;LR&quot;, com tampa, Ref. Wetzel ou equivalente técnico"/>
    <m/>
    <s v="und"/>
    <n v="4"/>
    <n v="279.64"/>
  </r>
  <r>
    <s v="CONDULETES"/>
    <s v="03.01.03.00.020"/>
    <x v="0"/>
    <m/>
    <s v="Condulete em alumínio, diâmetro 3&quot;, tipo &quot;LB&quot;, com tampa, Ref. Wetzel ou equivalente técnico"/>
    <m/>
    <s v="und"/>
    <n v="2"/>
    <n v="279.64"/>
  </r>
  <r>
    <s v="REDE DE DUTOS"/>
    <s v="03.01.04.00.001"/>
    <x v="0"/>
    <m/>
    <s v="Eletroduto corrugado flexível PE ou PEAD, construção por método destrutivo, envelopamento em concreto e regularização do terreno, redes com 1 x Ø1&quot;"/>
    <m/>
    <s v="m"/>
    <n v="89"/>
    <n v="51.92"/>
  </r>
  <r>
    <s v="REDE DE DUTOS"/>
    <s v="03.01.04.00.002"/>
    <x v="0"/>
    <m/>
    <s v="Eletroduto corrugado flexível PE ou PEAD, construção por método destrutivo, envelopamento em concreto e regularização do terreno, redes com 2 x Ø1&quot;"/>
    <m/>
    <s v="m"/>
    <n v="84"/>
    <n v="53.84"/>
  </r>
  <r>
    <s v="REDE DE DUTOS"/>
    <s v="03.01.04.00.003"/>
    <x v="0"/>
    <m/>
    <s v="Eletroduto corrugado flexível PE ou PEAD), construção por método destrutivo, envelopamento em concreto e regularização do terreno, redes com 2 x Ø2&quot;"/>
    <m/>
    <s v="m"/>
    <n v="100"/>
    <n v="57.34"/>
  </r>
  <r>
    <s v="REDE DE DUTOS"/>
    <s v="03.01.04.00.004"/>
    <x v="0"/>
    <m/>
    <s v="Caixa de Passagem em blocos de concreto, 400 x 400 x 400 mm"/>
    <m/>
    <s v="und"/>
    <n v="23"/>
    <n v="1200"/>
  </r>
  <r>
    <s v="TOMADAS E ACESSÓRIOS"/>
    <s v="03.02.01.00.001"/>
    <x v="0"/>
    <m/>
    <s v="Tomada 2P+T, 10A (NBR 14136), com suporte e placa tamanho 4X2&quot;, montada em condulete em  de alumínio fundido tipo E"/>
    <m/>
    <s v="und"/>
    <n v="262"/>
    <n v="15.379999999999999"/>
  </r>
  <r>
    <s v="TOMADAS E ACESSÓRIOS"/>
    <s v="03.02.01.00.002"/>
    <x v="0"/>
    <m/>
    <s v="Fonte de Alimentação para fechadura eletromagnética, entrada 220VAC - saída 12VDC, 3A"/>
    <m/>
    <s v="und"/>
    <n v="215"/>
    <n v="66.28"/>
  </r>
  <r>
    <s v="QUADROS ELÉTRICOS"/>
    <s v="03.02.02.01.001"/>
    <x v="1"/>
    <m/>
    <s v="QDTE-01SC conforme documento RJ.01/403.23/003608/00"/>
    <m/>
    <s v="cj"/>
    <n v="1"/>
    <n v="2200"/>
  </r>
  <r>
    <s v="QUADROS ELÉTRICOS"/>
    <s v="03.02.02.01.002"/>
    <x v="1"/>
    <m/>
    <s v="QDTE-02SC conforme documento RJ.01/403.23/003608/00"/>
    <m/>
    <s v="cj"/>
    <n v="1"/>
    <n v="2170"/>
  </r>
  <r>
    <s v="QUADROS ELÉTRICOS"/>
    <s v="03.02.02.01.003"/>
    <x v="1"/>
    <m/>
    <s v="QDTE-03SC conforme documento RJ.01/403.23/003608/00"/>
    <m/>
    <s v="cj"/>
    <n v="1"/>
    <n v="2190"/>
  </r>
  <r>
    <s v="QUADROS ELÉTRICOS"/>
    <s v="03.02.02.01.004"/>
    <x v="1"/>
    <m/>
    <s v="QDTE-11SC conforme documento RJ.01/403.23/003608/00"/>
    <m/>
    <s v="cj"/>
    <n v="1"/>
    <n v="2150"/>
  </r>
  <r>
    <s v="QUADROS ELÉTRICOS"/>
    <s v="03.02.02.01.005"/>
    <x v="1"/>
    <m/>
    <s v="QDTE-12SC conforme documento RJ.01/403.23/003608/00"/>
    <m/>
    <s v="cj"/>
    <n v="1"/>
    <n v="2150"/>
  </r>
  <r>
    <s v="QUADROS ELÉTRICOS"/>
    <s v="03.02.02.01.006"/>
    <x v="1"/>
    <m/>
    <s v="QTSE-01AS conforme documento RJ.05/411.26/003609/00"/>
    <m/>
    <s v="cj"/>
    <n v="1"/>
    <n v="2190"/>
  </r>
  <r>
    <s v="QUADROS ELÉTRICOS"/>
    <s v="03.02.02.01.007"/>
    <x v="1"/>
    <m/>
    <s v="QTS-SCI, conforme documento RJ.08/409.23/002731/00"/>
    <m/>
    <s v="cj"/>
    <n v="1"/>
    <n v="1910"/>
  </r>
  <r>
    <s v="QUADROS ELÉTRICOS"/>
    <s v="03.02.02.01.008"/>
    <x v="1"/>
    <m/>
    <s v="QFTE-0113D, conforme documento RJ.06/409.023/02732/00"/>
    <m/>
    <s v="cj"/>
    <n v="1"/>
    <n v="4230"/>
  </r>
  <r>
    <s v="DISJUNTORES"/>
    <s v="03.02.02.02.001"/>
    <x v="0"/>
    <m/>
    <s v="Disjuntor Monopolar 10A"/>
    <m/>
    <s v="und"/>
    <n v="17"/>
    <n v="9.34"/>
  </r>
  <r>
    <s v="DISJUNTORES"/>
    <s v="03.02.02.02.002"/>
    <x v="0"/>
    <m/>
    <s v="Disjuntor Monopolar 20A"/>
    <m/>
    <s v="und"/>
    <n v="9"/>
    <n v="9.34"/>
  </r>
  <r>
    <s v="CABO ELÉTRICO"/>
    <s v="03.02.03.00.001"/>
    <x v="0"/>
    <m/>
    <s v="Cabo de cobre, 2#2.5 mm² +T#2,5mm², encordoamento classe 2, isolação EPR, classe de tensão 0,6/1,0 KV, temperatura de operação 90ºC, Ref.. EPROTENAX AFUMEX DA PRYSMIAN ou equivalente técnico"/>
    <m/>
    <s v="m"/>
    <n v="4628"/>
    <n v="9.16"/>
  </r>
  <r>
    <s v="CABO ELÉTRICO"/>
    <s v="03.02.03.00.002"/>
    <x v="0"/>
    <m/>
    <s v="Cabo de cobre, 2#4,0 mm² +T#4,0mm², encordoamento classe 2, isolação EPR, classe de tensão 0,6/1,0 KV, temperatura de operação 90ºC, Ref.. EPROTENAX AFUMEX DA PRYSMIAN ou equivalente técnico"/>
    <m/>
    <s v="m"/>
    <n v="1558"/>
    <n v="13.14"/>
  </r>
  <r>
    <s v="CABO ELÉTRICO"/>
    <s v="03.02.03.00.003"/>
    <x v="0"/>
    <m/>
    <s v="Cabo de cobre, 4#4,0 mm² +T#4,0mm², encordoamento classe 2, isolação EPR, classe de tensão 0,6/1,0 KV, temperatura de operação 90ºC, Ref.. EPROTENAX AFUMEX DA PRYSMIAN ou equivalente técnico"/>
    <m/>
    <s v="m"/>
    <n v="6"/>
    <n v="23.18"/>
  </r>
  <r>
    <s v="CABO ELÉTRICO"/>
    <s v="03.02.03.00.004"/>
    <x v="0"/>
    <m/>
    <s v="Cabo de cobre, 2#6,0 mm² +T#6,0mm², encordoamento classe 2, isolação EPR, classe de tensão 0,6/1,0 KV, temperatura de operação 90ºC, Ref.. EPROTENAX AFUMEX DA PRYSMIAN ou equivalente técnico"/>
    <m/>
    <s v="m"/>
    <n v="104"/>
    <n v="17.940000000000001"/>
  </r>
  <r>
    <s v="CABO ELÉTRICO"/>
    <s v="03.02.03.00.005"/>
    <x v="0"/>
    <m/>
    <s v="Cabo de cobre, 4#6,0 mm² +T#6,0mm², encordoamento classe 2, isolação EPR, classe de tensão 0,6/1,0 KV, temperatura de operação 90ºC, Ref.. EPROTENAX AFUMEX DA PRYSMIAN ou equivalente técnico"/>
    <m/>
    <s v="m"/>
    <n v="20"/>
    <n v="32.97"/>
  </r>
  <r>
    <s v="CABO ELÉTRICO"/>
    <s v="03.02.03.00.006"/>
    <x v="0"/>
    <m/>
    <s v="Cabo de cobre, 2#10,0 mm² +T#10,0mm², encordoamento classe 2, isolação EPR, classe de tensão 0,6/1,0 KV, temperatura de operação 90ºC, Ref.. EPROTENAX AFUMEX DA PRYSMIAN ou equivalente técnico"/>
    <m/>
    <s v="m"/>
    <n v="40"/>
    <n v="29.41"/>
  </r>
  <r>
    <s v="CABO ELÉTRICO"/>
    <s v="03.02.03.00.007"/>
    <x v="0"/>
    <m/>
    <s v="Cabo de cobre, 4#10,0 mm² +T#10,0mm², encordoamento classe 2, isolação EPR, classe de tensão 0,6/1,0 KV, temperatura de operação 90ºC, Ref.. EPROTENAX AFUMEX DA PRYSMIAN ou equivalente técnico"/>
    <m/>
    <s v="m"/>
    <n v="21"/>
    <n v="52.98"/>
  </r>
  <r>
    <s v="NO-BREAK"/>
    <s v="03.02.04.00.001"/>
    <x v="1"/>
    <m/>
    <s v="No-Break 1F-1,5 KVA 380/220V"/>
    <m/>
    <s v="und"/>
    <n v="2"/>
    <m/>
  </r>
  <r>
    <s v="NO-BREAK"/>
    <s v="03.02.04.00.002"/>
    <x v="1"/>
    <m/>
    <s v="No-Break 1F-2 KVA 380/220V"/>
    <m/>
    <s v="und"/>
    <n v="14"/>
    <m/>
  </r>
  <r>
    <s v="NO-BREAK"/>
    <s v="03.02.04.00.003"/>
    <x v="1"/>
    <m/>
    <s v="No-Break 1F-3 KVA 380/220V"/>
    <m/>
    <s v="und"/>
    <n v="3"/>
    <m/>
  </r>
  <r>
    <s v="NO-BREAK"/>
    <s v="03.02.04.00.004"/>
    <x v="1"/>
    <m/>
    <s v="No-Break 1F-6,0 KVA 380/220V"/>
    <m/>
    <s v="und"/>
    <n v="4"/>
    <m/>
  </r>
  <r>
    <s v="NO-BREAK"/>
    <s v="03.02.04.00.005"/>
    <x v="1"/>
    <m/>
    <s v="No-Break 3F-6,0 KVA 380/220V"/>
    <m/>
    <s v="und"/>
    <n v="1"/>
    <m/>
  </r>
  <r>
    <s v="NO-BREAK"/>
    <s v="03.02.04.00.006"/>
    <x v="1"/>
    <m/>
    <s v="No-Break 3F-7,5 KVA 380/220V"/>
    <m/>
    <s v="und"/>
    <n v="3"/>
    <m/>
  </r>
  <r>
    <s v="NO-BREAK"/>
    <s v="03.02.04.00.007"/>
    <x v="1"/>
    <m/>
    <s v="No-Break 3F-10,0 KVA 380/220V"/>
    <m/>
    <s v="und"/>
    <n v="10"/>
    <m/>
  </r>
  <r>
    <s v="NO-BREAK"/>
    <s v="03.02.04.00.008"/>
    <x v="1"/>
    <m/>
    <s v="No-Break 3F-15,0 KVA 380/220V"/>
    <m/>
    <s v="und"/>
    <n v="2"/>
    <m/>
  </r>
  <r>
    <s v="NO-BREAK"/>
    <s v="03.02.04.00.009"/>
    <x v="1"/>
    <m/>
    <s v="No-Break 3F-7,5 KVA 220/127V"/>
    <m/>
    <s v="und"/>
    <n v="1"/>
    <m/>
  </r>
  <r>
    <s v="ELETROCALHA E ACESSÓRIOS"/>
    <s v="04.01.01.00.001"/>
    <x v="0"/>
    <m/>
    <s v="Eletrocalha de aço galvanizado a fogo por imersão, 300 x 50 mm, tipo &quot;U&quot;, perfurada, chapa não inferior a 14 MSG, acompanhada de junções e acessórios necessários a sua fixação,  Ref. MEGA ou equivalente técnico"/>
    <m/>
    <s v="m"/>
    <n v="11"/>
    <n v="128.79999999999998"/>
  </r>
  <r>
    <s v="ELETROCALHA E ACESSÓRIOS"/>
    <s v="04.01.01.00.002"/>
    <x v="0"/>
    <m/>
    <s v="Eletrocalha de aço galvanizado a fogo por imersão, 100 x 50 mm, tipo &quot;U&quot;, perfurada, chapa não inferior a 14 MSG, acompanhada de junções e acessórios necessários a sua fixação,  Ref. MEGA ou equivalente técnico"/>
    <m/>
    <s v="m"/>
    <n v="25"/>
    <n v="64.399999999999991"/>
  </r>
  <r>
    <s v="ELETROCALHA E ACESSÓRIOS"/>
    <s v="04.01.01.00.003"/>
    <x v="0"/>
    <m/>
    <s v="Eletrocalha de aço galvanizado a fogo por imersão, 50 x 50 mm, tipo &quot;U&quot;, perfurada, chapa não inferior a 14 MSG, acompanhada de junções e acessórios necessários a sua fixação,  Ref. MEGA ou equivalente técnico"/>
    <m/>
    <s v="m"/>
    <n v="53"/>
    <n v="48.4"/>
  </r>
  <r>
    <s v="ELETROCALHA E ACESSÓRIOS"/>
    <s v="04.01.01.00.004"/>
    <x v="0"/>
    <m/>
    <s v="Saída lateral de eletrocalha para eletroduto, 3/4&quot;, galvanizada a fogo por imersão, acompanhada de parafuso cabeça lentilha, porca  e arruela, Ref. MEGA ou equivalente técnico"/>
    <m/>
    <s v="und"/>
    <n v="405"/>
    <n v="2.82"/>
  </r>
  <r>
    <s v="ELETROCALHA E ACESSÓRIOS"/>
    <s v="04.01.01.00.005"/>
    <x v="0"/>
    <m/>
    <s v="Saída lateral de eletrocalha para eletroduto, 1 1/2&quot;, galvanizada a fogo por imersão, acompanhada de parafuso cabeça lentilha, porca  e arruela, Ref. MEGA ou equivalente técnico"/>
    <m/>
    <s v="und"/>
    <n v="3"/>
    <n v="2.52"/>
  </r>
  <r>
    <s v="ELETROCALHA E ACESSÓRIOS"/>
    <s v="04.01.01.00.006"/>
    <x v="0"/>
    <m/>
    <s v="Saída lateral de eletrocalha para eletroduto, 2&quot;, galvanizada a fogo por imersão, acompanhada de parafuso cabeça lentilha, porca  e arruela, Ref. MEGA ou equivalente técnico"/>
    <m/>
    <s v="und"/>
    <n v="3"/>
    <n v="2.76"/>
  </r>
  <r>
    <s v="PERFILADO E ACESSÓRIOS"/>
    <s v="04.01.02.00.001"/>
    <x v="0"/>
    <m/>
    <s v="Perfilado em chapa de aço 14, galvanizado a fogo por imersão, perfurado, nas dimensões_x000a_38 x 38 mm, Ref. MEGA ou equivalente técnico"/>
    <m/>
    <s v="m"/>
    <n v="26"/>
    <n v="40"/>
  </r>
  <r>
    <s v="PERFILADO E ACESSÓRIOS"/>
    <s v="04.01.00.00.002"/>
    <x v="0"/>
    <m/>
    <s v="Saída superior de perfilado para eletroduto, 3/4&quot;, galvanizada a fogo por imersão,_x000a_acompanhada de parafuso cabeça lentilha, porca  e arruela, Ref. MEGA ou equivalente técnico"/>
    <m/>
    <s v="und"/>
    <n v="19"/>
    <n v="3.456"/>
  </r>
  <r>
    <s v="PERFILADO E ACESSÓRIOS"/>
    <s v="04.01.00.00.003"/>
    <x v="0"/>
    <m/>
    <s v="Saída superior de perfilado para eletroduto, 1 1/2&quot;, galvanizada a fogo por imersão,_x000a_acompanhada de parafuso cabeça lentilha, porca  e arruela, Ref. MEGA ou equivalente técnico"/>
    <m/>
    <s v="und"/>
    <n v="1"/>
    <n v="6.96"/>
  </r>
  <r>
    <s v="ELETROTUDOS E ACESSÓRIOS"/>
    <s v="04.01.03.00.001"/>
    <x v="0"/>
    <m/>
    <s v="Eletroduto de aço galvanizado a fogo por imersão, diâmetro 3/4&quot;, fabricado conforme_x000a_NBR5598, acompanhado de todos os acessórios necessários a sua instalação, Ref. Apolo ou equivalente técnico"/>
    <m/>
    <s v="m"/>
    <n v="3503"/>
    <n v="20.64"/>
  </r>
  <r>
    <s v="ELETROTUDOS E ACESSÓRIOS"/>
    <s v="04.01.03.00.002"/>
    <x v="0"/>
    <m/>
    <s v="Eletroduto de aço galvanizado a fogo por imersão, diâmetro 1&quot;, fabricado conforme_x000a_NBR5598, acompanhado de todos os acessórios necessários a sua instalação, Ref. Apolo ou equivalente técnico"/>
    <m/>
    <s v="m"/>
    <n v="4"/>
    <n v="25.166666666666668"/>
  </r>
  <r>
    <s v="ELETROTUDOS E ACESSÓRIOS"/>
    <s v="04.01.03.00.003"/>
    <x v="0"/>
    <m/>
    <s v="Eletroduto de aço galvanizado a fogo por imersão, diâmetro 1 1/2&quot;, fabricado conforme_x000a_NBR5598, acompanhado de todos os acessórios necessários a sua instalação, Ref. Apolo ou equivalente técnico"/>
    <m/>
    <s v="m"/>
    <n v="15"/>
    <n v="42.533333333333331"/>
  </r>
  <r>
    <s v="ELETROTUDOS E ACESSÓRIOS"/>
    <s v="04.01.03.00.004"/>
    <x v="0"/>
    <m/>
    <s v="Eletroduto de aço galvanizado a fogo por imersão, diâmetro 2&quot;, fabricado conforme_x000a_NBR5598, acompanhado de todos os acessórios necessários a sua instalação, Ref. Apolo ou equivalente técnico"/>
    <m/>
    <s v="m"/>
    <n v="4"/>
    <n v="56.223333333333329"/>
  </r>
  <r>
    <s v="ELETROTUDOS E ACESSÓRIOS"/>
    <s v="04.01.03.00.005"/>
    <x v="0"/>
    <m/>
    <s v="Eletroduto flexível, tipo Seal Tube, 3/4&quot;, Ref. SPTF ou equivalente técnico"/>
    <m/>
    <s v="m"/>
    <n v="415"/>
    <n v="5.22"/>
  </r>
  <r>
    <s v="ELETROTUDOS E ACESSÓRIOS"/>
    <s v="04.01.03.00.006"/>
    <x v="0"/>
    <m/>
    <s v="Eletroduto flexível, tipo Seal Tube, 1 1/2&quot;, Ref. SPTF ou equivalente técnico"/>
    <m/>
    <s v="m"/>
    <n v="57"/>
    <n v="7.32"/>
  </r>
  <r>
    <s v="ELETROTUDOS E ACESSÓRIOS"/>
    <s v="04.01.03.00.007"/>
    <x v="0"/>
    <m/>
    <s v="Eletroduto flexível, tipo Seal Tube, 2&quot;, Ref. SPTF ou equivalente técnico"/>
    <m/>
    <s v="m"/>
    <n v="14"/>
    <n v="13.71"/>
  </r>
  <r>
    <s v="ELETROTUDOS E ACESSÓRIOS"/>
    <s v="04.01.03.00.008"/>
    <x v="0"/>
    <m/>
    <s v="Box reto em alumínio fundido, 3/4&quot;, rosca BSP, Ref. Wetzel  ou equivalente técnico"/>
    <m/>
    <s v="und"/>
    <n v="151"/>
    <n v="9.9600000000000009"/>
  </r>
  <r>
    <s v="ELETROTUDOS E ACESSÓRIOS"/>
    <s v="04.01.03.00.009"/>
    <x v="0"/>
    <m/>
    <s v="Box reto em alumínio fundido, 1 1/2&quot;, rosca BSP, Ref. Wetzel  ou equivalente técnico"/>
    <m/>
    <s v="und"/>
    <n v="15"/>
    <n v="5.41"/>
  </r>
  <r>
    <s v="ELETROTUDOS E ACESSÓRIOS"/>
    <s v="04.01.03.00.010"/>
    <x v="0"/>
    <m/>
    <s v="Box reto em alumínio fundido, 2&quot;, rosca BSP, Ref. Wetzel  ou equivalente técnico"/>
    <m/>
    <s v="und"/>
    <n v="4"/>
    <n v="10.68"/>
  </r>
  <r>
    <s v="ELETROTUDOS E ACESSÓRIOS"/>
    <s v="04.01.03.00.011"/>
    <x v="0"/>
    <m/>
    <s v="Caixa de Passagem metálica, porta com puxador e trava, fabricada em aço carbono, dobradiças e eixos com tratamento anticorrosão, com dimensões de 300 x 300 x 200 mm, Ref. Cemar ou equivalente técnico"/>
    <m/>
    <s v="und"/>
    <n v="1"/>
    <n v="300"/>
  </r>
  <r>
    <s v="CONDULETES"/>
    <s v="04.01.04.00.001"/>
    <x v="0"/>
    <m/>
    <s v="Condulete em alumínio, diâmetro 3/4&quot;, tipo &quot;C&quot;, com tampa, Ref. Wetzel ou equivalente técnico"/>
    <m/>
    <s v="und"/>
    <n v="533"/>
    <n v="14.86"/>
  </r>
  <r>
    <s v="CONDULETES"/>
    <s v="04.01.04.00.002"/>
    <x v="0"/>
    <m/>
    <s v="Condulete em alumínio, diâmetro 3/4&quot;, tipo &quot;LL&quot;, com tampa, Ref. Wetzel ou equivalente_x000a_técnico"/>
    <m/>
    <s v="und"/>
    <n v="87"/>
    <n v="14.86"/>
  </r>
  <r>
    <s v="CONDULETES"/>
    <s v="04.01.04.00.003"/>
    <x v="0"/>
    <m/>
    <s v="Condulete em alumínio, diâmetro 3/4&quot;, tipo &quot;LR&quot;, com tampa, Ref. Wetzel ou equivalente_x000a_técnico"/>
    <m/>
    <s v="und"/>
    <n v="114"/>
    <n v="14.86"/>
  </r>
  <r>
    <s v="CONDULETES"/>
    <s v="04.01.04.00.004"/>
    <x v="0"/>
    <m/>
    <s v="Condulete em alumínio, diâmetro 3/4&quot;, tipo &quot;T&quot;, com tampa , Ref. Wetzel ou equivalente_x000a_técnico"/>
    <m/>
    <s v="und"/>
    <n v="110"/>
    <n v="16.04"/>
  </r>
  <r>
    <s v="CONDULETES"/>
    <s v="04.01.04.00.005"/>
    <x v="0"/>
    <m/>
    <s v="Condulete em alumínio, diâmetro 3/4&quot;, tipo &quot;LB&quot;, com tampa , Ref. Wetzel ou equivalente_x000a_técnico"/>
    <m/>
    <s v="und"/>
    <n v="8"/>
    <n v="14.86"/>
  </r>
  <r>
    <s v="CONDULETES"/>
    <s v="04.01.04.00.006"/>
    <x v="0"/>
    <m/>
    <s v="Condulete em alumínio, diâmetro 3/4&quot;, tipo &quot;E&quot;, sem tampa , Ref. Wetzel ou equivalente_x000a_técnico"/>
    <m/>
    <s v="und"/>
    <n v="348"/>
    <n v="14.86"/>
  </r>
  <r>
    <s v="CONDULETES"/>
    <s v="04.01.04.00.007"/>
    <x v="0"/>
    <m/>
    <s v="Condulete em alumínio, diâmetro 1&quot;, tipo &quot;LR&quot;, com tampa, Ref. Wetzel ou equivalente_x000a_técnico"/>
    <m/>
    <s v="und"/>
    <n v="1"/>
    <n v="23.7"/>
  </r>
  <r>
    <s v="CONDULETES"/>
    <s v="04.01.04.00.008"/>
    <x v="0"/>
    <m/>
    <s v="Condulete em alumínio, diâmetro 1&quot;, tipo &quot;T&quot;, com tampa , Ref. Wetzel ou equivalente_x000a_técnico"/>
    <m/>
    <s v="und"/>
    <n v="1"/>
    <n v="25.51"/>
  </r>
  <r>
    <s v="CONDULETES"/>
    <s v="04.01.04.00.009"/>
    <x v="0"/>
    <m/>
    <s v="Condulete em alumínio, diâmetro 1 1/2&quot;, tipo &quot;C&quot;, com tampa, Ref. Wetzel ou_x000a_equivalente técnico"/>
    <m/>
    <s v="und"/>
    <n v="2"/>
    <n v="62.9"/>
  </r>
  <r>
    <s v="CONDULETES"/>
    <s v="04.01.04.00.010"/>
    <x v="0"/>
    <m/>
    <s v="Condulete em alumínio, diâmetro 1 1/2&quot;, tipo &quot;LL&quot;, com tampa, Ref. Wetzel ou_x000a_equivalente técnico"/>
    <m/>
    <s v="und"/>
    <n v="2"/>
    <n v="62.9"/>
  </r>
  <r>
    <s v="CONDULETES"/>
    <s v="04.01.04.00.011"/>
    <x v="0"/>
    <m/>
    <s v="Condulete em alumínio, diâmetro 1 1/2&quot;, tipo &quot;T&quot;, com tampa, Ref. Wetzel ou equivalente_x000a_técnico"/>
    <m/>
    <s v="und"/>
    <n v="2"/>
    <n v="68.429999999999993"/>
  </r>
  <r>
    <s v="CONDULETES"/>
    <s v="04.01.04.00.012"/>
    <x v="0"/>
    <m/>
    <s v="Condulete em alumínio, diâmetro 2&quot;, tipo &quot;LR&quot;, com tampa, Ref. Wetzel ou equivalente_x000a_técnico"/>
    <m/>
    <s v="und"/>
    <n v="2"/>
    <n v="80.69"/>
  </r>
  <r>
    <s v="CONDULETES"/>
    <s v="04.01.04.00.013"/>
    <x v="0"/>
    <m/>
    <s v="Condulete em alumínio, diâmetro 2&quot;, tipo &quot;LB&quot;, com tampa , Ref. Wetzel ou equivalente_x000a_técnico"/>
    <m/>
    <s v="und"/>
    <n v="2"/>
    <n v="80.69"/>
  </r>
  <r>
    <s v="REDE DE DUTOS"/>
    <s v="04.01.05.00.001"/>
    <x v="0"/>
    <m/>
    <s v="Execução Subterrânea de Redes de Dutos (eletroduto corrugado flexível PE ou PEAD),_x000a_construção por método destrutivo, envelopamento em concreto e regularização do terreno, redes com 1 x Ø1&quot;"/>
    <m/>
    <s v="m"/>
    <n v="111"/>
    <n v="51.92"/>
  </r>
  <r>
    <s v="REDE DE DUTOS"/>
    <s v="04.01.05.00.002"/>
    <x v="0"/>
    <m/>
    <s v="Execução Subterrânea de Redes de Dutos (eletroduto corrugado flexível PE ou PEAD),_x000a_construção por método destrutivo, envelopamento em concreto e regularização do terreno, redes com 2 x Ø1&quot;"/>
    <m/>
    <s v="m"/>
    <n v="64"/>
    <n v="53.84"/>
  </r>
  <r>
    <s v="REDE DE DUTOS"/>
    <s v="04.01.05.00.003"/>
    <x v="0"/>
    <m/>
    <s v="Execução Subterrânea de Redes de Dutos (eletroduto corrugado flexível PE ou PEAD),_x000a_construção por método destrutivo, envelopamento em concreto e regularização do terreno, redes com 2 x Ø2&quot;"/>
    <m/>
    <s v="m"/>
    <n v="45"/>
    <n v="57.34"/>
  </r>
  <r>
    <s v="REDE DE DUTOS"/>
    <s v="04.01.05.00.004"/>
    <x v="0"/>
    <m/>
    <s v="Execução de Caixa de Passagem em blocos de concreto, 400 x 400 x 400 mm"/>
    <m/>
    <s v="und"/>
    <n v="24"/>
    <n v="1200"/>
  </r>
  <r>
    <s v="POSTES METÁLICOS"/>
    <s v="04.01.06.00.001"/>
    <x v="0"/>
    <m/>
    <s v="Poste Reto, fabricado em tubo de aço, galvanizado a fogo, fixação por frange através de_x000a_chumbador com 2 m de altura (Instalação de cãmera sobre a guarita do Acesso Sul e Acesso Escola Naval"/>
    <m/>
    <s v="und"/>
    <n v="1"/>
    <n v="256"/>
  </r>
  <r>
    <s v="POSTES METÁLICOS"/>
    <s v="04.01.06.00.002"/>
    <x v="0"/>
    <m/>
    <s v="Poste Reto, fabricado em tubo de aço, galvanizado a fogo, fixação por frange através de chumbador com 4 m de altura (instalação de câmera sobre a guarita de acesso ao pátio)"/>
    <m/>
    <s v="und"/>
    <n v="1"/>
    <n v="465"/>
  </r>
  <r>
    <s v="POSTES METÁLICOS"/>
    <s v="04.01.06.00.003"/>
    <x v="0"/>
    <m/>
    <s v="Poste Reto, fabricado em tubo de aço, galvanizado a fogo, fixação por frange através de chumbador com 5 m de altura (instalação de câmera em poste na Guarita G1)"/>
    <m/>
    <s v="und"/>
    <n v="1"/>
    <n v="542"/>
  </r>
  <r>
    <s v="POSTES METÁLICOS"/>
    <s v="04.01.06.00.004"/>
    <x v="0"/>
    <m/>
    <s v="Execução de Base em Concreto para poste de 5 m"/>
    <m/>
    <s v="und"/>
    <n v="1"/>
    <n v="500"/>
  </r>
  <r>
    <s v="REDE ÓTICA"/>
    <s v="04.02.01.00.001"/>
    <x v="0"/>
    <m/>
    <s v="Cabo Óptico, de 6 fibras (3 pares), monomodo (SM)"/>
    <m/>
    <s v="m"/>
    <n v="6330"/>
    <n v="5"/>
  </r>
  <r>
    <s v="REDE ÓTICA"/>
    <s v="04.02.01.00.002"/>
    <x v="0"/>
    <m/>
    <s v="Cabo Óptico, de 4 fibras (2 pares), monomodo (SM)"/>
    <m/>
    <s v="m"/>
    <n v="4037"/>
    <n v="5"/>
  </r>
  <r>
    <s v="RACK"/>
    <s v="04.02.02.01.001"/>
    <x v="0"/>
    <m/>
    <s v="Rack de 19&quot;, 8 UA, incluindo acessórios"/>
    <m/>
    <s v="und"/>
    <n v="19"/>
    <n v="700"/>
  </r>
  <r>
    <s v="RACK"/>
    <s v="04.02.02.01.002"/>
    <x v="0"/>
    <m/>
    <s v="Rack de 19&quot;, 12 UA, incluindo acessórios"/>
    <m/>
    <s v="und"/>
    <n v="11"/>
    <n v="800"/>
  </r>
  <r>
    <s v="RACK"/>
    <s v="04.02.02.01.003"/>
    <x v="0"/>
    <m/>
    <s v="Rack de 19&quot;, 44 UA, incluindo acessórios"/>
    <m/>
    <s v="und"/>
    <n v="3"/>
    <n v="2500"/>
  </r>
  <r>
    <s v="RACK"/>
    <s v="04.02.02.01.004"/>
    <x v="0"/>
    <m/>
    <s v="Rack Outdor de poste de 19&quot;, 8 UA, incluindo acessórios"/>
    <m/>
    <s v="und"/>
    <n v="1"/>
    <n v="2000"/>
  </r>
  <r>
    <s v="DIO"/>
    <s v="04.02.02.02.001"/>
    <x v="0"/>
    <m/>
    <s v="Distribuidor Interno Óptico (DIO)  padrão 19&quot;, monomodo (SM), conector LC com conexão_x000a_para 12 fibras (6 pares),"/>
    <m/>
    <s v="und"/>
    <n v="21"/>
    <n v="287"/>
  </r>
  <r>
    <s v="DIO"/>
    <s v="04.02.02.02.002"/>
    <x v="0"/>
    <m/>
    <s v="Distribuidor Interno Óptico (DIO)  padrão 19&quot;, monomodo (SM), conector LC com conexão_x000a_para 24 fibras (12 pares),"/>
    <m/>
    <s v="und"/>
    <n v="1"/>
    <n v="287"/>
  </r>
  <r>
    <s v="DIO"/>
    <s v="04.02.02.02.003"/>
    <x v="0"/>
    <m/>
    <s v="Distribuidor Interno Óptico (DIO)  padrão 19&quot;, monomodo (SM), conector LC com conexão_x000a_para 48 fibras (24 pares),"/>
    <m/>
    <s v="und"/>
    <n v="2"/>
    <n v="580"/>
  </r>
  <r>
    <s v="PATCH PANEL"/>
    <s v="04.02.02.03.001"/>
    <x v="0"/>
    <m/>
    <s v="Patch Panel de 19&quot;, 24 portas com conectores fêmeas RJ-45 , categoria 6"/>
    <m/>
    <s v="und"/>
    <n v="47"/>
    <n v="70"/>
  </r>
  <r>
    <s v="ORGANIZADOR HORIZONTAL"/>
    <s v="04.02.02.04.001"/>
    <x v="0"/>
    <m/>
    <s v="Organizador Horizontal de cabos de 19&quot;, 1 UA, com tampa na cor preta"/>
    <m/>
    <s v="und"/>
    <n v="104"/>
    <n v="100"/>
  </r>
  <r>
    <s v="GRAMPOS PARA ORG. VERTICAL"/>
    <s v="04.02.02.05.001"/>
    <x v="0"/>
    <m/>
    <s v="Grampos para organização vertical de cabos"/>
    <m/>
    <s v="und"/>
    <n v="208"/>
    <n v="100"/>
  </r>
  <r>
    <s v="SWITCH"/>
    <s v="04.02.02.06.001"/>
    <x v="1"/>
    <m/>
    <s v="Switch Híbrido PoE++, empilhável de 28 portas, incluindo interfaces"/>
    <m/>
    <s v="und"/>
    <n v="47"/>
    <m/>
  </r>
  <r>
    <s v="SWITCH"/>
    <s v="04.02.02.06.002"/>
    <x v="1"/>
    <m/>
    <s v="Switch SFP+, incluindo interfaces"/>
    <m/>
    <s v="und"/>
    <n v="2"/>
    <m/>
  </r>
  <r>
    <s v="SWITCH"/>
    <s v="04.02.02.06.003"/>
    <x v="1"/>
    <m/>
    <s v="Switch Chassi Modular - CORE"/>
    <m/>
    <s v="und"/>
    <n v="1"/>
    <m/>
  </r>
  <r>
    <s v="CORDÃO ÓTICO"/>
    <s v="04.02.02.07.001"/>
    <x v="0"/>
    <m/>
    <s v="Cordão Ótico Duplex em fibra monomodo, terminação LC-LC com 1,5 m"/>
    <m/>
    <s v="und"/>
    <n v="81"/>
    <n v="35"/>
  </r>
  <r>
    <s v="CORDÃO ÓTICO"/>
    <s v="04.02.02.07.002"/>
    <x v="0"/>
    <m/>
    <s v="Cordão Ótico Duplex em fibra monomodo, terminação LC-LC com 3 m"/>
    <m/>
    <s v="und"/>
    <n v="3"/>
    <n v="40"/>
  </r>
  <r>
    <s v="CORDÃO ÓTICO"/>
    <s v="04.02.02.07.003"/>
    <x v="0"/>
    <m/>
    <s v="Cordão Ótico Duplex em fibra monomodo, terminação LC-LC com 5 m"/>
    <m/>
    <s v="und"/>
    <n v="4"/>
    <n v="100"/>
  </r>
  <r>
    <s v="CORDÃO ÓTICO"/>
    <s v="04.02.02.07.004"/>
    <x v="0"/>
    <m/>
    <s v="Cordão Ótico Duplex em fibra monomodo, terminação LC-LC com 8 m"/>
    <m/>
    <s v="und"/>
    <n v="4"/>
    <n v="150"/>
  </r>
  <r>
    <s v="CORDÃO ÓTICO"/>
    <s v="04.02.02.07.005"/>
    <x v="0"/>
    <m/>
    <s v="Cordão Ótico Duplex em fibra monomodo, terminação LC-LC com 10 m"/>
    <m/>
    <s v="und"/>
    <n v="4"/>
    <n v="150"/>
  </r>
  <r>
    <s v="CORDÃO ÓTICO"/>
    <s v="04.02.02.07.006"/>
    <x v="0"/>
    <m/>
    <s v="Cordão Ótico Duplex em fibra monomodo, terminação LC-LC com 12 m"/>
    <m/>
    <s v="und"/>
    <n v="4"/>
    <n v="150"/>
  </r>
  <r>
    <s v="CORDÃO ÓTICO"/>
    <s v="04.02.02.07.007"/>
    <x v="0"/>
    <m/>
    <s v="Cordão Ótico Duplex em fibra monomodo, terminação LC-SC com 0,5 m"/>
    <m/>
    <s v="und"/>
    <n v="12"/>
    <n v="35"/>
  </r>
  <r>
    <s v="CORDÃO ÓTICO"/>
    <s v="04.02.02.07.008"/>
    <x v="0"/>
    <m/>
    <s v="Cordão Ótico Duplex em fibra monomodo, terminação LC-SC com 12 m"/>
    <m/>
    <s v="und"/>
    <n v="7"/>
    <n v="200"/>
  </r>
  <r>
    <s v="PATCH CORD"/>
    <s v="04.02.02.08.001"/>
    <x v="0"/>
    <m/>
    <s v="Patch-cord , categoria 6, com cabo UTP 23 AWG de 4 pares, com conectores RJ-45 nas duas extremidades e proteção em PVC, na cor azul, com comprimento de 0,5 metro"/>
    <m/>
    <s v="und"/>
    <n v="649"/>
    <n v="10"/>
  </r>
  <r>
    <s v="CHASSI PARA CONV. DE MÍDIA"/>
    <s v="04.02.02.09.001"/>
    <x v="0"/>
    <m/>
    <s v="Chassi com slots para conversores de mída"/>
    <m/>
    <s v="und"/>
    <n v="3"/>
    <n v="3640.58"/>
  </r>
  <r>
    <s v="CONV. DE MÍDIA E INJETOR POE"/>
    <s v="04.02.02.10.001"/>
    <x v="0"/>
    <m/>
    <s v="Conversor de Mídia UTP RJ45 / SC Fibra òtica Monomodo"/>
    <m/>
    <s v="und"/>
    <n v="30"/>
    <n v="696"/>
  </r>
  <r>
    <s v="CONV. DE MÍDIA E INJETOR POE"/>
    <s v="04.02.02.10.002"/>
    <x v="0"/>
    <m/>
    <s v="Injetor PoE 30W"/>
    <m/>
    <s v="und"/>
    <n v="3"/>
    <n v="410.4"/>
  </r>
  <r>
    <s v="TERM. ÓTICO E CONV. MÍDIA"/>
    <s v="04.02.02.11.001"/>
    <x v="0"/>
    <m/>
    <s v="Caixa  metálica  à prova de intempérie, para abrigar conversor de mídia e  Mini-DIO  ou_x000a_roseta óptica, Ref. PAINEL ou equivalente técnico"/>
    <m/>
    <s v="und"/>
    <n v="7"/>
    <n v="400"/>
  </r>
  <r>
    <s v="TERM. ÓTICO E CONV. MÍDIA"/>
    <s v="04.02.02.11.002"/>
    <x v="0"/>
    <m/>
    <s v="Mini-DIO  para conexão de 6 fibras ópticas (3 pares) monomodo, Ref. FURUKAWA ou_x000a_equivalente técnico"/>
    <m/>
    <s v="und"/>
    <n v="5"/>
    <n v="1482.33"/>
  </r>
  <r>
    <s v="TERM. ÓTICO E CONV. MÍDIA"/>
    <s v="04.02.02.11.003"/>
    <x v="0"/>
    <m/>
    <s v="Roseta óptica  para conexão de 4 fibras ópticas (2 pares) monomodo, Ref. FURUKAWA ou_x000a_equivalente técnico"/>
    <m/>
    <s v="und"/>
    <n v="2"/>
    <n v="261.35000000000002"/>
  </r>
  <r>
    <s v="CABEAMENTO HORIZONTAL"/>
    <s v="04.02.03.00.001"/>
    <x v="0"/>
    <m/>
    <s v="Cabo UTP, categoria 6, 23 AWG, com 4 pares, na cor azul, Ref. FURUKAWA ou equivalente_x000a_técnico"/>
    <m/>
    <s v="m"/>
    <n v="31258"/>
    <n v="2.8"/>
  </r>
  <r>
    <s v="CABEAMENTO HORIZONTAL"/>
    <s v="04.02.03.00.002"/>
    <x v="0"/>
    <m/>
    <s v="Cabo UTP, categoria 6, 23 AWG, com 4 pares, dupla capa blindado, para uso externo em dutos sujeitos a alagamento, na cor preta, Ref. FURUKAWA ou equivalente técnico"/>
    <m/>
    <s v="m"/>
    <n v="2047"/>
    <n v="6"/>
  </r>
  <r>
    <s v="CABEAMENTO HORIZONTAL"/>
    <s v="04.02.03.00.003"/>
    <x v="0"/>
    <m/>
    <s v="Conector RJ-45 fêmea, categoria 6, em 8 vias, padrão EIA/TIA 568-A,  Ref. FURUKAWA ou_x000a_equivalente técnico"/>
    <m/>
    <s v="und"/>
    <n v="378"/>
    <n v="7"/>
  </r>
  <r>
    <s v="CABEAMENTO HORIZONTAL"/>
    <s v="04.02.03.00.004"/>
    <x v="0"/>
    <m/>
    <s v="Espelho 4x2&quot;, para duas tomadas RJ-45 fêmeas, de material termoplástico, na cor bege,_x000a_com 02 (dois) porta-etiquetas, acompanhada de 1 (um) módulo  de tampa cega,  Ref. FURUKAWA ou equivalente técnico"/>
    <m/>
    <s v="und"/>
    <n v="348"/>
    <n v="19.86"/>
  </r>
  <r>
    <s v="CONTROLE DE ACESSO DE PESSOAS"/>
    <s v="04.03.01.01.001"/>
    <x v="1"/>
    <m/>
    <s v="Terminal de Controle de Acesso, dupla autenticação com reconhecimento facial e_x000a_aproximação de cartão PoE - para utilização em áreas internas"/>
    <m/>
    <s v="und"/>
    <n v="203"/>
    <n v="2656.28"/>
  </r>
  <r>
    <s v="CONTROLE DE ACESSO DE PESSOAS"/>
    <s v="04.03.01.01.002"/>
    <x v="1"/>
    <m/>
    <s v="Terminal de Controle de Acesso, dupla autenticação com reconhecimento facial e aproximação de cartão,PoE, IP66, IK07 - para utilização em áreas externas"/>
    <m/>
    <s v="und"/>
    <n v="37"/>
    <n v="2882.97"/>
  </r>
  <r>
    <s v="CONTROLE DE ACESSO DE PESSOAS"/>
    <s v="04.03.01.01.003"/>
    <x v="1"/>
    <m/>
    <s v="Fechadura Eletromagnética, DC12V, 200kg±5% de faixa de força de tração, incluíndo_x000a_suportes de fixação"/>
    <m/>
    <s v="und"/>
    <n v="216"/>
    <n v="1028.04"/>
  </r>
  <r>
    <s v="CONTROLE DE ACESSO DE PESSOAS"/>
    <s v="04.03.01.01.004"/>
    <x v="0"/>
    <m/>
    <s v="Contato de Porta"/>
    <m/>
    <s v="und"/>
    <n v="209"/>
    <n v="21"/>
  </r>
  <r>
    <s v="CONTROLE DE ACESSO DE PESSOAS"/>
    <s v="04.03.01.01.005"/>
    <x v="0"/>
    <m/>
    <s v="Botão de Destrave (saída), acabamento em aço inox,"/>
    <m/>
    <s v="und"/>
    <n v="191"/>
    <n v="85.52"/>
  </r>
  <r>
    <s v="CONTROLE DE ACESSO DE PESSOAS"/>
    <s v="04.03.01.01.006"/>
    <x v="0"/>
    <m/>
    <s v="Botão de Saída de Emergência, acionamento por quebra de vidro"/>
    <m/>
    <s v="und"/>
    <n v="22"/>
    <n v="65.400000000000006"/>
  </r>
  <r>
    <s v="CONTROLE DE ACESSO DE PESSOAS"/>
    <s v="04.03.01.01.007"/>
    <x v="0"/>
    <m/>
    <s v="Interface com Porta Automática"/>
    <m/>
    <s v="und"/>
    <n v="3"/>
    <n v="1107.8"/>
  </r>
  <r>
    <s v="CONTROLE DE ACESSO DE PESSOAS"/>
    <s v="04.03.01.01.008"/>
    <x v="0"/>
    <m/>
    <s v="Interface com Catraca de Acesso"/>
    <m/>
    <s v="und"/>
    <n v="7"/>
    <n v="7108.75"/>
  </r>
  <r>
    <s v="CONTROLE DE ACESSO DE PESSOAS"/>
    <s v="04.03.01.01.009"/>
    <x v="0"/>
    <m/>
    <s v="Interface com Totem Luminoso"/>
    <m/>
    <s v="und"/>
    <n v="2"/>
    <n v="3229.6"/>
  </r>
  <r>
    <s v="CONTROLE DE ACESSO DE PESSOAS"/>
    <s v="04.03.01.02.001"/>
    <x v="0"/>
    <m/>
    <s v="Infraestrutura para instalação de controle de acesso na porta simples em alvenaria ou_x000a_divisória"/>
    <m/>
    <s v="cj"/>
    <n v="96"/>
    <n v="200"/>
  </r>
  <r>
    <s v="CONTROLE DE ACESSO DE PESSOAS"/>
    <s v="04.03.01.02.002"/>
    <x v="0"/>
    <m/>
    <s v="Infraestrutura para instalação de controle de acesso na porta dupla em alvenaria ou_x000a_divisória"/>
    <m/>
    <s v="cj"/>
    <n v="86"/>
    <n v="300"/>
  </r>
  <r>
    <s v="CONTROLE DE ACESSO DE PESSOAS"/>
    <s v="04.03.01.02.003"/>
    <x v="0"/>
    <m/>
    <s v="Infraestrutura para instalação de controle de acesso na porta de serviço da ponte de_x000a_embarque"/>
    <m/>
    <s v="cj"/>
    <n v="8"/>
    <n v="200"/>
  </r>
  <r>
    <s v="CONTROLE DE ACESSO DE PESSOAS"/>
    <s v="04.03.01.02.004"/>
    <x v="0"/>
    <m/>
    <s v="Infraestrutura para instalação de controle de acesso na porta da ponte de embarque"/>
    <m/>
    <s v="cj"/>
    <n v="8"/>
    <n v="200"/>
  </r>
  <r>
    <s v="CONTROLE DE ACESSO DE PESSOAS"/>
    <s v="04.03.01.02.005"/>
    <x v="0"/>
    <m/>
    <s v="Infraestrutura para instalação de controle de acesso na porta de correr do embarque_x000a_remoto"/>
    <m/>
    <s v="cj"/>
    <n v="7"/>
    <n v="300"/>
  </r>
  <r>
    <s v="CONTROLE DE ACESSO DE VEÍCULOS"/>
    <s v="04.03.02.01.001"/>
    <x v="1"/>
    <m/>
    <s v="Controladora  com 4 entradas, TCP/IPincluíndo Caixa de Proteção, Fonte de Alimentação_x000a_e Bateria"/>
    <m/>
    <s v="und"/>
    <n v="3"/>
    <n v="1685"/>
  </r>
  <r>
    <s v="CONTROLE DE ACESSO DE VEÍCULOS"/>
    <s v="04.03.02.01.002"/>
    <x v="1"/>
    <m/>
    <s v="Câmera LPR para leitura de placas, TCP/IP, lente autofoco de 3,2 mm a 11,1 mm, sensor_x000a_CMOS 3MP 1/2,8&quot;"/>
    <m/>
    <s v="und"/>
    <n v="4"/>
    <n v="3690"/>
  </r>
  <r>
    <s v="CONTROLE DE ACESSO DE VEÍCULOS"/>
    <s v="04.03.02.01.003"/>
    <x v="1"/>
    <m/>
    <s v="Cancela automática com braço telescópico, fechamento automático com sensor_x000a_infravermelho ou laço indutivo, alimentação 110/220VAC"/>
    <m/>
    <s v="und"/>
    <n v="7"/>
    <n v="7000"/>
  </r>
  <r>
    <s v="CONTROLE DE ACESSO DE VEÍCULOS"/>
    <s v="04.03.02.01.004"/>
    <x v="1"/>
    <m/>
    <s v="Scanner de Chassi de Veiculos, escaneamento através de câmeras de alta velocidade de_x000a_2MP, TCP/IP, resolução &gt; 6000 x 1048 pixels"/>
    <m/>
    <s v="und"/>
    <n v="1"/>
    <n v="160140"/>
  </r>
  <r>
    <s v="CONTROLE DE ACESSO DE VEÍCULOS"/>
    <s v="04.03.02.01.005"/>
    <x v="1"/>
    <m/>
    <s v="Antena UHF, distância da leitura de 8 m, comunicação RS485"/>
    <m/>
    <s v="und"/>
    <n v="2"/>
    <n v="1000"/>
  </r>
  <r>
    <s v="CONTROLE DE ACESSO DE VEÍCULOS"/>
    <s v="04.03.02.01.006"/>
    <x v="0"/>
    <m/>
    <s v="Botão de Destrave (saída), acabamento em aço inox, instalado em condulete tipo &quot;E&quot;"/>
    <m/>
    <s v="und"/>
    <n v="6"/>
    <n v="59"/>
  </r>
  <r>
    <s v="CONTROLE DE ACESSO DE VEÍCULOS"/>
    <s v="04.03.02.01.007"/>
    <x v="0"/>
    <m/>
    <s v="Espelho e Conector RJ-45 fêmea, categoria 6, em 8 vias, padrão EIA/TIA 568-A, instalado_x000a_em condulete tipo &quot;E&quot;"/>
    <m/>
    <s v="und"/>
    <n v="3"/>
    <n v="30.7"/>
  </r>
  <r>
    <s v="CONTROLE DE ACESSO DE VEÍCULOS"/>
    <s v="04.03.02.02.001"/>
    <x v="0"/>
    <m/>
    <s v="Cabo Manga 4x24AWG Blindado"/>
    <m/>
    <s v="m"/>
    <n v="151"/>
    <n v="7.11"/>
  </r>
  <r>
    <s v="CONTROLE DE ACESSO DE VEÍCULOS"/>
    <s v="04.03.02.03.001"/>
    <x v="1"/>
    <m/>
    <s v="Estação de Trabalho Remotas"/>
    <m/>
    <s v="und"/>
    <n v="3"/>
    <n v="4000"/>
  </r>
  <r>
    <s v="PLAT. DE GER. DO SIST. CONTROLE DE ACESSO"/>
    <s v="04.03.03.01.001"/>
    <x v="1"/>
    <m/>
    <s v="Plafaforma de Gerenciamento do Sistema de Controle de Acesso"/>
    <m/>
    <s v="und"/>
    <n v="1"/>
    <n v="473648.89"/>
  </r>
  <r>
    <s v="PLAT. DE GER. DO SIST. CONTROLE DE ACESSO"/>
    <s v="04.03.03.02.001"/>
    <x v="1"/>
    <m/>
    <s v="Servidor do SICA"/>
    <m/>
    <s v="und"/>
    <n v="1"/>
    <n v="37832"/>
  </r>
  <r>
    <s v="PLAT. DE GER. DO SIST. CONTROLE DE ACESSO"/>
    <s v="04.03.03.02.002"/>
    <x v="1"/>
    <m/>
    <s v="Estação de Trabalho"/>
    <m/>
    <s v="und"/>
    <n v="3"/>
    <n v="4000"/>
  </r>
  <r>
    <s v="STVV- CÂMERAS DE VÍDEO E ACESSÓRIOS"/>
    <s v="04.04.01.00.001"/>
    <x v="1"/>
    <m/>
    <s v="CFI - Câmera IP, Fixa, Interna, Box, 5MP+IR, Lente de 2.8-12 mm, com caixa de proteção à prova de intempérie, com suporte para teto ou parede,  ou equivalente técnico"/>
    <m/>
    <s v="und"/>
    <n v="38"/>
    <n v="1346.39"/>
  </r>
  <r>
    <s v="STVV- CÂMERAS DE VÍDEO E ACESSÓRIOS"/>
    <s v="04.04.01.00.002"/>
    <x v="1"/>
    <m/>
    <s v="CFID -Câmera IP, Fixa,  Interna, com Domo sobreposto, 5MP + IR, Lente de 2.8-12 mm,_x000a_com suporte para teto ou parede, ou equivalente técnico"/>
    <m/>
    <s v="und"/>
    <n v="187"/>
    <n v="1316.45"/>
  </r>
  <r>
    <s v="STVV- CÂMERAS DE VÍDEO E ACESSÓRIOS"/>
    <s v="04.04.01.00.003"/>
    <x v="1"/>
    <m/>
    <s v="CIM - Câmera IP, Multisensor, com 8 (oito) sensores de 2MP para visão panorâmica com_x000a_uma PTZ integrada de 4MP e zoom ótico de 40X, com suporte para teto ou parede, ou equivalente técnico"/>
    <m/>
    <s v="und"/>
    <n v="4"/>
    <n v="6922.2999999999993"/>
  </r>
  <r>
    <s v="STVV- CÂMERAS DE VÍDEO E ACESSÓRIOS"/>
    <s v="04.04.01.00.004"/>
    <x v="1"/>
    <m/>
    <s v="CEM - Câmera IP, Fixa, Externa, Multisensor, 4MP, lente fixa de 5 mm + lente com zoom óptico de 6-240mm, com suporte para teto ou parede, ou equivalente técnico"/>
    <m/>
    <s v="und"/>
    <n v="2"/>
    <n v="11975.69"/>
  </r>
  <r>
    <s v="STVV- CÂMERAS DE VÍDEO E ACESSÓRIOS"/>
    <s v="04.04.01.00.005"/>
    <x v="1"/>
    <m/>
    <s v="CFE - Câmera IP, Fixa, Externa, com Box,  5MP+ IR, Lente de 2.8-12 mm, com caixa de proteção à prova de intempérie, com suporte para teto ou parede, ou equivalente técnico"/>
    <m/>
    <s v="und"/>
    <n v="54"/>
    <n v="1346.39"/>
  </r>
  <r>
    <s v="STVV- CÂMERAS DE VÍDEO E ACESSÓRIOS"/>
    <s v="04.04.01.00.006"/>
    <x v="1"/>
    <m/>
    <s v="CFE1 - Câmera IP, Fixa, Externa, com Box, 8MP+ IR, Lente de 8-32 mm, com caixa de proteção à prova de intempérie, com suporte para teto ou parede, ou equivalente técnico"/>
    <m/>
    <s v="und"/>
    <n v="27"/>
    <n v="3022.08"/>
  </r>
  <r>
    <s v="STVV- CÂMERAS DE VÍDEO E ACESSÓRIOS"/>
    <s v="04.04.01.00.007"/>
    <x v="1"/>
    <m/>
    <s v="CFE2 -  Câmera IP, Fixa, Externa, com Box, 4MP + IR, Lente de 12-55 mm, com caixa de proteção à prova de intempérie, com suporte para teto ou parede, ou equivalente técnico"/>
    <m/>
    <s v="und"/>
    <n v="17"/>
    <n v="13030.15"/>
  </r>
  <r>
    <s v="STVV- CÂMERAS DE VÍDEO E ACESSÓRIOS"/>
    <s v="04.04.01.00.008"/>
    <x v="1"/>
    <m/>
    <s v="CFE3 -  Câmera IP, Fixa, Externa, 8MP + IR, Lente de 6-240 mm, com caixa de proteção à prova de intempérie, com suporte para teto ou parede, ou equivalente técnico"/>
    <m/>
    <s v="und"/>
    <n v="5"/>
    <n v="16128.21"/>
  </r>
  <r>
    <s v="STVV- CÂMERAS DE VÍDEO E ACESSÓRIOS"/>
    <s v="04.04.01.00.009"/>
    <x v="1"/>
    <m/>
    <s v="CMID - Câmeras IP, Móvel, Interna, com Domo PTZ pendente, 5MP+ IR, Lente de 5.3-175 mm, zoom de 33X, com suporte para teto ou parede, ou equivalente técnico"/>
    <m/>
    <s v="und"/>
    <n v="16"/>
    <n v="4042.84"/>
  </r>
  <r>
    <s v="STVV- CÂMERAS DE VÍDEO E ACESSÓRIOS"/>
    <s v="04.04.01.00.010"/>
    <x v="1"/>
    <m/>
    <s v="CMED - Câmera IP, Móvel, Externa, com Domo PTZ pendente, 5MP + IR, Lente de 5,3 - 175 mm, zoom ótico de 33X, com suporte para teto e parede, ou equivalente técnico"/>
    <m/>
    <s v="und"/>
    <n v="16"/>
    <n v="2758.07"/>
  </r>
  <r>
    <s v="STVV- CÂMERAS DE VÍDEO E ACESSÓRIOS"/>
    <s v="04.04.01.00.011"/>
    <x v="1"/>
    <m/>
    <s v="CEL - Câmera para os Elevadores, Câmera IP, Fixa, Interna, 4MP, lente fixa de 2,8 mm,_x000a_microfonoe e speaker embutidos. com suporte, ou equivalente técnico"/>
    <m/>
    <s v="und"/>
    <n v="12"/>
    <n v="761.14"/>
  </r>
  <r>
    <s v="STVV- CÂMERAS DE VÍDEO E ACESSÓRIOS"/>
    <s v="04.04.01.00.012"/>
    <x v="1"/>
    <m/>
    <s v="CCP - Câmera de Contagem de Passageiros, Câmera IP com visão estéreo, Fixa, Interna, Lente de 2,5 mm, com suporte para fixação no forro, ou equivalente técnico"/>
    <m/>
    <s v="und"/>
    <n v="3"/>
    <n v="9740.7906750000002"/>
  </r>
  <r>
    <s v="STVV- CÂMERAS DE VÍDEO E ACESSÓRIOS"/>
    <s v="04.04.01.00.013"/>
    <x v="1"/>
    <m/>
    <s v="BHT - Sensor Bluetooth, para medição de ocupação de ambiente e fluxo continuo de pessoas"/>
    <m/>
    <s v="und"/>
    <n v="8"/>
    <n v="25760.646250000002"/>
  </r>
  <r>
    <s v="STVV- CÂMERAS DE VÍDEO E ACESSÓRIOS"/>
    <s v="04.04.01.00.014"/>
    <x v="0"/>
    <m/>
    <s v="Line-cord , categoria 6, 1,5 mts, com cabo UTP 23 AWG de 4 pares, com conectores RJ-45 nas duas extremidades e proteção em PVC, na cor branca,  Ref. FURUKAWA ou equivalente ]técnico"/>
    <m/>
    <s v="und"/>
    <n v="378"/>
    <n v="26.74"/>
  </r>
  <r>
    <s v="STVV- CÂMERAS DE VÍDEO E ACESSÓRIOS"/>
    <s v="04.04.01.00.015"/>
    <x v="0"/>
    <m/>
    <s v="Line-cord , categoria 6, 5,0 mts, com cabo UTP 23 AWG de 4 pares, com conectores RJ-45_x000a_nas duas extremidades e proteção em PVC, na cor branca,  Ref. FURUKAWA ou equivalente técnico"/>
    <m/>
    <s v="und"/>
    <n v="12"/>
    <n v="20"/>
  </r>
  <r>
    <s v="STVV - PLATAFORMA DE GESTÃO"/>
    <s v="04.04.02.00.001"/>
    <x v="1"/>
    <m/>
    <s v="Plataforma de Gerenciamento de Sistema de Monitoramento de TV de Vigilância"/>
    <m/>
    <s v="cj"/>
    <n v="1"/>
    <n v="943908.3"/>
  </r>
  <r>
    <s v="STVV - PLATAFORMA DE GESTÃO"/>
    <s v="04.04.02.00.002"/>
    <x v="1"/>
    <m/>
    <s v="Sistema de Gravação em Tempo Real"/>
    <m/>
    <s v="cj"/>
    <n v="1"/>
    <n v="6979.38"/>
  </r>
  <r>
    <s v="STVV - PLATAFORMA DE GESTÃO"/>
    <s v="04.04.02.00.003"/>
    <x v="1"/>
    <m/>
    <s v="Sistema de Gerenciamento SNMP"/>
    <m/>
    <s v="cj"/>
    <n v="1"/>
    <n v="27254.22"/>
  </r>
  <r>
    <s v="STVV - PLATAFORMA DE GESTÃO"/>
    <s v="04.04.02.00.004"/>
    <x v="1"/>
    <m/>
    <s v="Estação de Trabalho"/>
    <m/>
    <s v="cj"/>
    <n v="1"/>
    <n v="4000"/>
  </r>
  <r>
    <s v="STVV - PLATAFORMA DE GESTÃO"/>
    <s v="04.04.02.00.005"/>
    <x v="1"/>
    <m/>
    <s v="Controlador de Câmeras PTZ em rede"/>
    <m/>
    <s v="cj"/>
    <n v="1"/>
    <n v="15693.04"/>
  </r>
  <r>
    <s v="STVV - PLATAFORMA DE GESTÃO"/>
    <s v="04.04.02.00.006"/>
    <x v="1"/>
    <m/>
    <s v="Sistema VideoWall composto de monitores de vídeo de 46&quot; ou superior nos formatos das_x000a_matrizes 7x3 e 2x2"/>
    <m/>
    <s v="cj"/>
    <n v="1"/>
    <n v="350000"/>
  </r>
  <r>
    <s v="GESTÃO DE PREV. DOS PASSAGEIROS"/>
    <s v="04.04.03.00.001"/>
    <x v="1"/>
    <m/>
    <s v="Gestão de Previsibilidade dos Passageiros"/>
    <m/>
    <s v="cj"/>
    <n v="1"/>
    <n v="1949201.221604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n v="1"/>
    <s v="ELETROCALHA E ACESSÓRIOS"/>
    <s v="03.01.00.00.001"/>
    <x v="0"/>
    <m/>
    <s v="Saída lateral de eletrocalha para eletroduto, 3/4&quot;, galvanizada a fogo por imersão, acompanhada de parafuso cabeça lentilha, porca  e arruela, Ref. MEGA ou equivalente técnico"/>
    <m/>
    <s v="und"/>
    <n v="18"/>
    <n v="2.44"/>
    <n v="43.92"/>
  </r>
  <r>
    <n v="2"/>
    <s v="ELETROCALHA E ACESSÓRIOS"/>
    <s v="03.01.00.00.002"/>
    <x v="0"/>
    <m/>
    <s v="Saída lateral de eletrocalha para eletroduto, 1&quot;, galvanizada a fogo por imersão, acompanhada de parafuso cabeça lentilha, porca  e arruela, Ref. MEGA ou equivalente técnico"/>
    <m/>
    <s v="und"/>
    <n v="5"/>
    <n v="5"/>
    <n v="25"/>
  </r>
  <r>
    <n v="3"/>
    <s v="ELETROTUDOS E ACESSÓRIOS"/>
    <s v="03.01.02.00.001"/>
    <x v="0"/>
    <m/>
    <s v="Eletroduto de aço galvanizado a fogo por imersão, diâmetro 3/4&quot;, fabricado conforme NBR5598, acompanhado de todos os acessórios necessários a sua instalação, Ref. Apolo ou equivalente técnico"/>
    <m/>
    <s v="m"/>
    <n v="3522"/>
    <n v="20.64"/>
    <n v="72694.080000000002"/>
  </r>
  <r>
    <n v="4"/>
    <s v="ELETROTUDOS E ACESSÓRIOS"/>
    <s v="03.01.02.00.002"/>
    <x v="0"/>
    <m/>
    <s v="Eletroduto de aço galvanizado a fogo por imersão, diâmetro 1&quot;, fabricado conforme NBR5598, acompanhado de todos os acessórios necessários a sua instalação, Ref. Apolo ou equivalente técnico"/>
    <m/>
    <s v="m"/>
    <n v="38"/>
    <n v="25.166666666666668"/>
    <n v="956.33333333333337"/>
  </r>
  <r>
    <n v="5"/>
    <s v="ELETROTUDOS E ACESSÓRIOS"/>
    <s v="03.01.02.00.003"/>
    <x v="0"/>
    <m/>
    <s v="Eletroduto de aço galvanizado a fogo por imersão, diâmetro 1 1/2&quot;, fabricado conforme NBR5598, acompanhado de todos os acessórios necessários a sua instalação, Ref. Apolo ou equivalente técnico"/>
    <m/>
    <s v="m"/>
    <n v="120"/>
    <n v="42.533333333333331"/>
    <n v="5104"/>
  </r>
  <r>
    <n v="6"/>
    <s v="ELETROTUDOS E ACESSÓRIOS"/>
    <s v="03.01.02.00.004"/>
    <x v="0"/>
    <m/>
    <s v="Eletroduto de aço galvanizado a fogo por imersão, diâmetro 2&quot;, fabricado conforme NBR5598, acompanhado de todos os acessórios necessários a sua instalação, Ref. Apolo ou equivalente técnico"/>
    <m/>
    <s v="m"/>
    <n v="23"/>
    <n v="56.223333333333329"/>
    <n v="1293.1366666666665"/>
  </r>
  <r>
    <n v="7"/>
    <s v="ELETROTUDOS E ACESSÓRIOS"/>
    <s v="03.01.02.00.005"/>
    <x v="0"/>
    <m/>
    <s v="Eletroduto de aço galvanizado a fogo por imersão, diâmetro 3&quot;, fabricado conforme NBR5598, acompanhado de todos os acessórios necessários a sua instalação, Ref. Apolo ou equivalente técnico"/>
    <m/>
    <s v="m"/>
    <n v="36"/>
    <n v="102.86666666666667"/>
    <n v="3703.2000000000003"/>
  </r>
  <r>
    <n v="8"/>
    <s v="ELETROTUDOS E ACESSÓRIOS"/>
    <s v="03.01.02.00.006"/>
    <x v="0"/>
    <m/>
    <s v="Eletroduto flexível, tipo Seal Tube,3/4&quot;, Ref. SPTF ou equivalente técnico"/>
    <m/>
    <s v="m"/>
    <n v="56"/>
    <n v="5.22"/>
    <n v="292.32"/>
  </r>
  <r>
    <n v="9"/>
    <s v="ELETROTUDOS E ACESSÓRIOS"/>
    <s v="03.01.02.00.007"/>
    <x v="0"/>
    <m/>
    <s v="Eletroduto flexível, tipo Seal Tube,1&quot;, Ref. SPTF ou equivalente técnico"/>
    <m/>
    <s v="m"/>
    <n v="7"/>
    <n v="7.32"/>
    <n v="51.24"/>
  </r>
  <r>
    <n v="10"/>
    <s v="ELETROTUDOS E ACESSÓRIOS"/>
    <s v="03.01.02.00.008"/>
    <x v="0"/>
    <m/>
    <s v="Eletroduto flexível, tipo Seal Tube, 1 1/2&quot;, Ref. SPTF ou equivalente técnico"/>
    <m/>
    <s v="m"/>
    <n v="2"/>
    <n v="13.71"/>
    <n v="27.42"/>
  </r>
  <r>
    <n v="11"/>
    <s v="ELETROTUDOS E ACESSÓRIOS"/>
    <s v="03.01.02.00.009"/>
    <x v="0"/>
    <m/>
    <s v="Box reto em alumínio fundido, 3/4&quot;, rosca BSP, Ref. Wetzel  ou equivalente técnico"/>
    <m/>
    <s v="und"/>
    <n v="32"/>
    <n v="9.9600000000000009"/>
    <n v="318.72000000000003"/>
  </r>
  <r>
    <n v="12"/>
    <s v="ELETROTUDOS E ACESSÓRIOS"/>
    <s v="03.01.02.00.010"/>
    <x v="0"/>
    <m/>
    <s v="Box reto em alumínio fundido, 1&quot;, rosca BSP, Ref. Wetzel  ou equivalente técnico"/>
    <m/>
    <s v="und"/>
    <n v="8"/>
    <n v="5.41"/>
    <n v="43.28"/>
  </r>
  <r>
    <n v="13"/>
    <s v="ELETROTUDOS E ACESSÓRIOS"/>
    <s v="03.01.02.00.011"/>
    <x v="0"/>
    <m/>
    <s v="Box reto em alumínio fundido, 1 1/2&quot;, rosca BSP, Ref. Wetzel  ou equivalente técnico"/>
    <m/>
    <s v="und"/>
    <n v="2"/>
    <n v="10.68"/>
    <n v="21.36"/>
  </r>
  <r>
    <n v="14"/>
    <s v="CONDULETES"/>
    <s v="03.01.03.00.001"/>
    <x v="0"/>
    <m/>
    <s v="Condulete em alumínio, diâmetro 3/4&quot;, tipo &quot;C&quot;, com tampa, Ref. Wetzel ou equivalente técnico"/>
    <m/>
    <s v="und"/>
    <n v="247"/>
    <n v="14.86"/>
    <n v="3670.42"/>
  </r>
  <r>
    <n v="15"/>
    <s v="CONDULETES"/>
    <s v="03.01.03.00.002"/>
    <x v="0"/>
    <m/>
    <s v="Condulete em alumínio, diâmetro 3/4&quot;, tipo &quot;LL&quot;, com tampa, Ref. Wetzel ou equivalente técnico"/>
    <m/>
    <s v="und"/>
    <n v="49"/>
    <n v="14.86"/>
    <n v="728.14"/>
  </r>
  <r>
    <n v="16"/>
    <s v="CONDULETES"/>
    <s v="03.01.03.00.003"/>
    <x v="0"/>
    <m/>
    <s v="Condulete em alumínio, diâmetro 3/4&quot;, tipo &quot;LR&quot;, com tampa, Ref. Wetzel ou equivalente técnico"/>
    <m/>
    <s v="und"/>
    <n v="120"/>
    <n v="14.86"/>
    <n v="1783.1999999999998"/>
  </r>
  <r>
    <n v="17"/>
    <s v="CONDULETES"/>
    <s v="03.01.03.00.004"/>
    <x v="0"/>
    <m/>
    <s v="Condulete em alumínio, diâmetro 3/4&quot;, tipo &quot;T&quot;, com tampa , Ref. Wetzel ou equivalente técnico"/>
    <m/>
    <s v="und"/>
    <n v="140"/>
    <n v="16.04"/>
    <n v="2245.6"/>
  </r>
  <r>
    <n v="18"/>
    <s v="CONDULETES"/>
    <s v="03.01.03.00.005"/>
    <x v="0"/>
    <m/>
    <s v="Condulete em alumínio, diâmetro 3/4&quot;, tipo &quot;X&quot;, com tampa , Ref. Wetzel ou equivalente técnico"/>
    <m/>
    <s v="und"/>
    <n v="5"/>
    <n v="17.2"/>
    <n v="86"/>
  </r>
  <r>
    <n v="19"/>
    <s v="CONDULETES"/>
    <s v="03.01.03.00.006"/>
    <x v="0"/>
    <m/>
    <s v="Condulete em alumínio, diâmetro 1&quot;, tipo &quot;C&quot;, com tampa, Ref. Wetzel ou equivalente técnico"/>
    <m/>
    <s v="und"/>
    <n v="3"/>
    <n v="23.7"/>
    <n v="71.099999999999994"/>
  </r>
  <r>
    <n v="20"/>
    <s v="CONDULETES"/>
    <s v="03.01.03.00.007"/>
    <x v="0"/>
    <m/>
    <s v="Condulete em alumínio, diâmetro 1&quot;, tipo &quot;LL&quot;, com tampa, Ref. Wetzel ou equivalente técnico"/>
    <m/>
    <s v="und"/>
    <n v="3"/>
    <n v="23.7"/>
    <n v="71.099999999999994"/>
  </r>
  <r>
    <n v="21"/>
    <s v="CONDULETES"/>
    <s v="03.01.03.00.008"/>
    <x v="0"/>
    <m/>
    <s v="Condulete em alumínio, diâmetro 1&quot;, tipo &quot;LR&quot;, com tampa, Ref. Wetzel ou equivalente técnico"/>
    <m/>
    <s v="und"/>
    <n v="2"/>
    <n v="23.7"/>
    <n v="47.4"/>
  </r>
  <r>
    <n v="22"/>
    <s v="CONDULETES"/>
    <s v="03.01.03.00.009"/>
    <x v="0"/>
    <m/>
    <s v="Condulete em alumínio, diâmetro 1&quot;, tipo &quot;T&quot;, com tampa , Ref. Wetzel ou equivalente técnico"/>
    <m/>
    <s v="und"/>
    <n v="2"/>
    <n v="25.51"/>
    <n v="51.02"/>
  </r>
  <r>
    <n v="23"/>
    <s v="CONDULETES"/>
    <s v="03.01.03.00.010"/>
    <x v="0"/>
    <m/>
    <s v="Condulete em alumínio, diâmetro 1 1/2&quot;, tipo &quot;C&quot;, com tampa, Ref. Wetzel ou equivalente técnico"/>
    <m/>
    <s v="und"/>
    <n v="5"/>
    <n v="62.9"/>
    <n v="314.5"/>
  </r>
  <r>
    <n v="24"/>
    <s v="CONDULETES"/>
    <s v="03.01.03.00.011"/>
    <x v="0"/>
    <m/>
    <s v="Condulete em alumínio, diâmetro 1 1/2&quot;, tipo &quot;LL&quot;, com tampa, Ref. Wetzel ou equivalente técnico"/>
    <m/>
    <s v="und"/>
    <n v="8"/>
    <n v="62.9"/>
    <n v="503.2"/>
  </r>
  <r>
    <n v="25"/>
    <s v="CONDULETES"/>
    <s v="03.01.03.00.012"/>
    <x v="0"/>
    <m/>
    <s v="Condulete em alumínio, diâmetro 1 1/2&quot;, tipo &quot;LR&quot;, com tampa, Ref. Wetzel ou equivalente técnico"/>
    <m/>
    <s v="und"/>
    <n v="6"/>
    <n v="62.9"/>
    <n v="377.4"/>
  </r>
  <r>
    <n v="26"/>
    <s v="CONDULETES"/>
    <s v="03.01.03.00.013"/>
    <x v="0"/>
    <m/>
    <s v="Condulete em alumínio, diâmetro 1 1/2&quot;, tipo &quot;T&quot;, com tampa , Ref. Wetzel ou equivalente técnico"/>
    <m/>
    <s v="und"/>
    <n v="13"/>
    <n v="68.429999999999993"/>
    <n v="889.58999999999992"/>
  </r>
  <r>
    <n v="27"/>
    <s v="CONDULETES"/>
    <s v="03.01.03.00.014"/>
    <x v="0"/>
    <m/>
    <s v="Condulete em alumínio, diâmetro 1 1/2&quot;, tipo &quot;X&quot;, com tampa , Ref. Wetzel ou equivalente técnico"/>
    <m/>
    <s v="und"/>
    <n v="1"/>
    <n v="73.94"/>
    <n v="73.94"/>
  </r>
  <r>
    <n v="28"/>
    <s v="CONDULETES"/>
    <s v="03.01.03.00.015"/>
    <x v="0"/>
    <m/>
    <s v="Condulete em alumínio, diâmetro 2&quot;, tipo &quot;LL&quot;, com tampa, Ref. Wetzel ou equivalente técnico"/>
    <m/>
    <s v="und"/>
    <n v="1"/>
    <n v="80.69"/>
    <n v="80.69"/>
  </r>
  <r>
    <n v="29"/>
    <s v="CONDULETES"/>
    <s v="03.01.03.00.016"/>
    <x v="0"/>
    <m/>
    <s v="Condulete em alumínio, diâmetro 2&quot;, tipo &quot;T&quot;, com tampa , Ref. Wetzel ou equivalente técnico"/>
    <m/>
    <s v="und"/>
    <n v="2"/>
    <n v="87.78"/>
    <n v="175.56"/>
  </r>
  <r>
    <n v="30"/>
    <s v="CONDULETES"/>
    <s v="03.01.03.00.017"/>
    <x v="0"/>
    <m/>
    <s v="Condulete em alumínio, diâmetro 2&quot;, tipo &quot;X&quot;, com tampa , Ref. Wetzel ou equivalente técnico"/>
    <m/>
    <s v="und"/>
    <n v="1"/>
    <n v="94.89"/>
    <n v="94.89"/>
  </r>
  <r>
    <n v="31"/>
    <s v="CONDULETES"/>
    <s v="03.01.03.00.018"/>
    <x v="0"/>
    <m/>
    <s v="Condulete em alumínio, diâmetro 3&quot;, tipo &quot;LL&quot;, com tampa, Ref. Wetzel ou equivalente técnico"/>
    <m/>
    <s v="und"/>
    <n v="1"/>
    <n v="279.64"/>
    <n v="279.64"/>
  </r>
  <r>
    <n v="32"/>
    <s v="CONDULETES"/>
    <s v="03.01.03.00.019"/>
    <x v="0"/>
    <m/>
    <s v="Condulete em alumínio, diâmetro 3&quot;, tipo &quot;LR&quot;, com tampa, Ref. Wetzel ou equivalente técnico"/>
    <m/>
    <s v="und"/>
    <n v="4"/>
    <n v="279.64"/>
    <n v="1118.56"/>
  </r>
  <r>
    <n v="33"/>
    <s v="CONDULETES"/>
    <s v="03.01.03.00.020"/>
    <x v="0"/>
    <m/>
    <s v="Condulete em alumínio, diâmetro 3&quot;, tipo &quot;LB&quot;, com tampa, Ref. Wetzel ou equivalente técnico"/>
    <m/>
    <s v="und"/>
    <n v="2"/>
    <n v="279.64"/>
    <n v="559.28"/>
  </r>
  <r>
    <n v="34"/>
    <s v="REDE DE DUTOS"/>
    <s v="03.01.04.00.001"/>
    <x v="0"/>
    <m/>
    <s v="Eletroduto corrugado flexível PE ou PEAD, construção por método destrutivo, envelopamento em concreto e regularização do terreno, redes com 1 x Ø1&quot;"/>
    <m/>
    <s v="m"/>
    <n v="89"/>
    <n v="51.92"/>
    <n v="4620.88"/>
  </r>
  <r>
    <n v="35"/>
    <s v="REDE DE DUTOS"/>
    <s v="03.01.04.00.002"/>
    <x v="0"/>
    <m/>
    <s v="Eletroduto corrugado flexível PE ou PEAD, construção por método destrutivo, envelopamento em concreto e regularização do terreno, redes com 2 x Ø1&quot;"/>
    <m/>
    <s v="m"/>
    <n v="84"/>
    <n v="53.84"/>
    <n v="4522.5600000000004"/>
  </r>
  <r>
    <n v="36"/>
    <s v="REDE DE DUTOS"/>
    <s v="03.01.04.00.003"/>
    <x v="0"/>
    <m/>
    <s v="Eletroduto corrugado flexível PE ou PEAD), construção por método destrutivo, envelopamento em concreto e regularização do terreno, redes com 2 x Ø2&quot;"/>
    <m/>
    <s v="m"/>
    <n v="100"/>
    <n v="57.34"/>
    <n v="5734"/>
  </r>
  <r>
    <n v="37"/>
    <s v="REDE DE DUTOS"/>
    <s v="03.01.04.00.004"/>
    <x v="0"/>
    <m/>
    <s v="Caixa de Passagem em blocos de concreto, 400 x 400 x 400 mm"/>
    <m/>
    <s v="und"/>
    <n v="23"/>
    <n v="1200"/>
    <n v="27600"/>
  </r>
  <r>
    <n v="38"/>
    <s v="TOMADAS E ACESSÓRIOS"/>
    <s v="03.02.01.00.001"/>
    <x v="0"/>
    <m/>
    <s v="Tomada 2P+T, 10A (NBR 14136), com suporte e placa tamanho 4X2&quot;, montada em condulete em  de alumínio fundido tipo E"/>
    <m/>
    <s v="und"/>
    <n v="262"/>
    <n v="15.379999999999999"/>
    <n v="4029.56"/>
  </r>
  <r>
    <n v="39"/>
    <s v="TOMADAS E ACESSÓRIOS"/>
    <s v="03.02.01.00.002"/>
    <x v="0"/>
    <m/>
    <s v="Fonte de Alimentação para fechadura eletromagnética, entrada 220VAC - saída 12VDC, 3A"/>
    <m/>
    <s v="und"/>
    <n v="215"/>
    <n v="66.28"/>
    <n v="14250.2"/>
  </r>
  <r>
    <n v="40"/>
    <s v="QUADROS ELÉTRICOS"/>
    <s v="03.02.02.01.001"/>
    <x v="1"/>
    <m/>
    <s v="QDTE-01SC conforme documento RJ.01/403.23/003608/00"/>
    <m/>
    <s v="cj"/>
    <n v="1"/>
    <n v="2200"/>
    <n v="2200"/>
  </r>
  <r>
    <n v="41"/>
    <s v="QUADROS ELÉTRICOS"/>
    <s v="03.02.02.01.002"/>
    <x v="1"/>
    <m/>
    <s v="QDTE-02SC conforme documento RJ.01/403.23/003608/00"/>
    <m/>
    <s v="cj"/>
    <n v="1"/>
    <n v="2170"/>
    <n v="2170"/>
  </r>
  <r>
    <n v="42"/>
    <s v="QUADROS ELÉTRICOS"/>
    <s v="03.02.02.01.003"/>
    <x v="1"/>
    <m/>
    <s v="QDTE-03SC conforme documento RJ.01/403.23/003608/00"/>
    <m/>
    <s v="cj"/>
    <n v="1"/>
    <n v="2190"/>
    <n v="2190"/>
  </r>
  <r>
    <n v="43"/>
    <s v="QUADROS ELÉTRICOS"/>
    <s v="03.02.02.01.004"/>
    <x v="1"/>
    <m/>
    <s v="QDTE-11SC conforme documento RJ.01/403.23/003608/00"/>
    <m/>
    <s v="cj"/>
    <n v="1"/>
    <n v="2150"/>
    <n v="2150"/>
  </r>
  <r>
    <n v="44"/>
    <s v="QUADROS ELÉTRICOS"/>
    <s v="03.02.02.01.005"/>
    <x v="1"/>
    <m/>
    <s v="QDTE-12SC conforme documento RJ.01/403.23/003608/00"/>
    <m/>
    <s v="cj"/>
    <n v="1"/>
    <n v="2150"/>
    <n v="2150"/>
  </r>
  <r>
    <n v="45"/>
    <s v="QUADROS ELÉTRICOS"/>
    <s v="03.02.02.01.006"/>
    <x v="1"/>
    <m/>
    <s v="QTSE-01AS conforme documento RJ.05/411.26/003609/00"/>
    <m/>
    <s v="cj"/>
    <n v="1"/>
    <n v="2190"/>
    <n v="2190"/>
  </r>
  <r>
    <n v="46"/>
    <s v="QUADROS ELÉTRICOS"/>
    <s v="03.02.02.01.007"/>
    <x v="1"/>
    <m/>
    <s v="QTS-SCI, conforme documento RJ.08/409.23/002731/00"/>
    <m/>
    <s v="cj"/>
    <n v="1"/>
    <n v="1910"/>
    <n v="1910"/>
  </r>
  <r>
    <n v="47"/>
    <s v="QUADROS ELÉTRICOS"/>
    <s v="03.02.02.01.008"/>
    <x v="1"/>
    <m/>
    <s v="QFTE-0113D, conforme documento RJ.06/409.023/02732/00"/>
    <m/>
    <s v="cj"/>
    <n v="1"/>
    <n v="4230"/>
    <n v="4230"/>
  </r>
  <r>
    <n v="48"/>
    <s v="DISJUNTORES"/>
    <s v="03.02.02.02.001"/>
    <x v="0"/>
    <m/>
    <s v="Disjuntor Monopolar 10A"/>
    <m/>
    <s v="und"/>
    <n v="17"/>
    <n v="9.34"/>
    <n v="158.78"/>
  </r>
  <r>
    <n v="49"/>
    <s v="DISJUNTORES"/>
    <s v="03.02.02.02.002"/>
    <x v="0"/>
    <m/>
    <s v="Disjuntor Monopolar 20A"/>
    <m/>
    <s v="und"/>
    <n v="9"/>
    <n v="9.34"/>
    <n v="84.06"/>
  </r>
  <r>
    <n v="50"/>
    <s v="CABO ELÉTRICO"/>
    <s v="03.02.03.00.001"/>
    <x v="0"/>
    <m/>
    <s v="Cabo de cobre, 2#2.5 mm² +T#2,5mm², encordoamento classe 2, isolação EPR, classe de tensão 0,6/1,0 KV, temperatura de operação 90ºC, Ref.. EPROTENAX AFUMEX DA PRYSMIAN ou equivalente técnico"/>
    <m/>
    <s v="m"/>
    <n v="4628"/>
    <n v="9.16"/>
    <n v="42392.480000000003"/>
  </r>
  <r>
    <n v="51"/>
    <s v="CABO ELÉTRICO"/>
    <s v="03.02.03.00.002"/>
    <x v="0"/>
    <m/>
    <s v="Cabo de cobre, 2#4,0 mm² +T#4,0mm², encordoamento classe 2, isolação EPR, classe de tensão 0,6/1,0 KV, temperatura de operação 90ºC, Ref.. EPROTENAX AFUMEX DA PRYSMIAN ou equivalente técnico"/>
    <m/>
    <s v="m"/>
    <n v="1558"/>
    <n v="13.14"/>
    <n v="20472.120000000003"/>
  </r>
  <r>
    <n v="52"/>
    <s v="CABO ELÉTRICO"/>
    <s v="03.02.03.00.003"/>
    <x v="0"/>
    <m/>
    <s v="Cabo de cobre, 4#4,0 mm² +T#4,0mm², encordoamento classe 2, isolação EPR, classe de tensão 0,6/1,0 KV, temperatura de operação 90ºC, Ref.. EPROTENAX AFUMEX DA PRYSMIAN ou equivalente técnico"/>
    <m/>
    <s v="m"/>
    <n v="6"/>
    <n v="23.18"/>
    <n v="139.07999999999998"/>
  </r>
  <r>
    <n v="53"/>
    <s v="CABO ELÉTRICO"/>
    <s v="03.02.03.00.004"/>
    <x v="0"/>
    <m/>
    <s v="Cabo de cobre, 2#6,0 mm² +T#6,0mm², encordoamento classe 2, isolação EPR, classe de tensão 0,6/1,0 KV, temperatura de operação 90ºC, Ref.. EPROTENAX AFUMEX DA PRYSMIAN ou equivalente técnico"/>
    <m/>
    <s v="m"/>
    <n v="104"/>
    <n v="17.940000000000001"/>
    <n v="1865.7600000000002"/>
  </r>
  <r>
    <n v="54"/>
    <s v="CABO ELÉTRICO"/>
    <s v="03.02.03.00.005"/>
    <x v="0"/>
    <m/>
    <s v="Cabo de cobre, 4#6,0 mm² +T#6,0mm², encordoamento classe 2, isolação EPR, classe de tensão 0,6/1,0 KV, temperatura de operação 90ºC, Ref.. EPROTENAX AFUMEX DA PRYSMIAN ou equivalente técnico"/>
    <m/>
    <s v="m"/>
    <n v="20"/>
    <n v="32.97"/>
    <n v="659.4"/>
  </r>
  <r>
    <n v="55"/>
    <s v="CABO ELÉTRICO"/>
    <s v="03.02.03.00.006"/>
    <x v="0"/>
    <m/>
    <s v="Cabo de cobre, 2#10,0 mm² +T#10,0mm², encordoamento classe 2, isolação EPR, classe de tensão 0,6/1,0 KV, temperatura de operação 90ºC, Ref.. EPROTENAX AFUMEX DA PRYSMIAN ou equivalente técnico"/>
    <m/>
    <s v="m"/>
    <n v="40"/>
    <n v="29.41"/>
    <n v="1176.4000000000001"/>
  </r>
  <r>
    <n v="56"/>
    <s v="CABO ELÉTRICO"/>
    <s v="03.02.03.00.007"/>
    <x v="0"/>
    <m/>
    <s v="Cabo de cobre, 4#10,0 mm² +T#10,0mm², encordoamento classe 2, isolação EPR, classe de tensão 0,6/1,0 KV, temperatura de operação 90ºC, Ref.. EPROTENAX AFUMEX DA PRYSMIAN ou equivalente técnico"/>
    <m/>
    <s v="m"/>
    <n v="21"/>
    <n v="52.98"/>
    <n v="1112.58"/>
  </r>
  <r>
    <n v="57"/>
    <s v="NO-BREAK"/>
    <s v="03.02.04.00.001"/>
    <x v="1"/>
    <m/>
    <s v="No-Break 1F-1,5 KVA 380/220V"/>
    <m/>
    <s v="und"/>
    <n v="2"/>
    <m/>
    <m/>
  </r>
  <r>
    <n v="58"/>
    <s v="NO-BREAK"/>
    <s v="03.02.04.00.002"/>
    <x v="1"/>
    <m/>
    <s v="No-Break 1F-2 KVA 380/220V"/>
    <m/>
    <s v="und"/>
    <n v="14"/>
    <m/>
    <m/>
  </r>
  <r>
    <n v="59"/>
    <s v="NO-BREAK"/>
    <s v="03.02.04.00.003"/>
    <x v="1"/>
    <m/>
    <s v="No-Break 1F-3 KVA 380/220V"/>
    <m/>
    <s v="und"/>
    <n v="3"/>
    <m/>
    <m/>
  </r>
  <r>
    <n v="60"/>
    <s v="NO-BREAK"/>
    <s v="03.02.04.00.004"/>
    <x v="1"/>
    <m/>
    <s v="No-Break 1F-6,0 KVA 380/220V"/>
    <m/>
    <s v="und"/>
    <n v="4"/>
    <m/>
    <m/>
  </r>
  <r>
    <n v="61"/>
    <s v="NO-BREAK"/>
    <s v="03.02.04.00.005"/>
    <x v="1"/>
    <m/>
    <s v="No-Break 3F-6,0 KVA 380/220V"/>
    <m/>
    <s v="und"/>
    <n v="1"/>
    <m/>
    <m/>
  </r>
  <r>
    <n v="62"/>
    <s v="NO-BREAK"/>
    <s v="03.02.04.00.006"/>
    <x v="1"/>
    <m/>
    <s v="No-Break 3F-7,5 KVA 380/220V"/>
    <m/>
    <s v="und"/>
    <n v="3"/>
    <m/>
    <m/>
  </r>
  <r>
    <n v="63"/>
    <s v="NO-BREAK"/>
    <s v="03.02.04.00.007"/>
    <x v="1"/>
    <m/>
    <s v="No-Break 3F-10,0 KVA 380/220V"/>
    <m/>
    <s v="und"/>
    <n v="10"/>
    <m/>
    <m/>
  </r>
  <r>
    <n v="64"/>
    <s v="NO-BREAK"/>
    <s v="03.02.04.00.008"/>
    <x v="1"/>
    <m/>
    <s v="No-Break 3F-15,0 KVA 380/220V"/>
    <m/>
    <s v="und"/>
    <n v="2"/>
    <m/>
    <m/>
  </r>
  <r>
    <n v="65"/>
    <s v="NO-BREAK"/>
    <s v="03.02.04.00.009"/>
    <x v="1"/>
    <m/>
    <s v="No-Break 3F-7,5 KVA 220/127V"/>
    <m/>
    <s v="und"/>
    <n v="1"/>
    <m/>
    <m/>
  </r>
  <r>
    <n v="66"/>
    <s v="ELETROCALHA E ACESSÓRIOS"/>
    <s v="04.01.01.00.001"/>
    <x v="0"/>
    <m/>
    <s v="Eletrocalha de aço galvanizado a fogo por imersão, 300 x 50 mm, tipo &quot;U&quot;, perfurada, chapa não inferior a 14 MSG, acompanhada de junções e acessórios necessários a sua fixação,  Ref. MEGA ou equivalente técnico"/>
    <m/>
    <s v="m"/>
    <n v="11"/>
    <n v="128.79999999999998"/>
    <n v="1416.7999999999997"/>
  </r>
  <r>
    <n v="67"/>
    <s v="ELETROCALHA E ACESSÓRIOS"/>
    <s v="04.01.01.00.002"/>
    <x v="0"/>
    <m/>
    <s v="Eletrocalha de aço galvanizado a fogo por imersão, 100 x 50 mm, tipo &quot;U&quot;, perfurada, chapa não inferior a 14 MSG, acompanhada de junções e acessórios necessários a sua fixação,  Ref. MEGA ou equivalente técnico"/>
    <m/>
    <s v="m"/>
    <n v="25"/>
    <n v="64.399999999999991"/>
    <n v="1609.9999999999998"/>
  </r>
  <r>
    <n v="68"/>
    <s v="ELETROCALHA E ACESSÓRIOS"/>
    <s v="04.01.01.00.003"/>
    <x v="0"/>
    <m/>
    <s v="Eletrocalha de aço galvanizado a fogo por imersão, 50 x 50 mm, tipo &quot;U&quot;, perfurada, chapa não inferior a 14 MSG, acompanhada de junções e acessórios necessários a sua fixação,  Ref. MEGA ou equivalente técnico"/>
    <m/>
    <s v="m"/>
    <n v="53"/>
    <n v="48.4"/>
    <n v="2565.1999999999998"/>
  </r>
  <r>
    <n v="69"/>
    <s v="ELETROCALHA E ACESSÓRIOS"/>
    <s v="04.01.01.00.004"/>
    <x v="0"/>
    <m/>
    <s v="Saída lateral de eletrocalha para eletroduto, 3/4&quot;, galvanizada a fogo por imersão, acompanhada de parafuso cabeça lentilha, porca  e arruela, Ref. MEGA ou equivalente técnico"/>
    <m/>
    <s v="und"/>
    <n v="405"/>
    <n v="2.82"/>
    <n v="1142.0999999999999"/>
  </r>
  <r>
    <n v="70"/>
    <s v="ELETROCALHA E ACESSÓRIOS"/>
    <s v="04.01.01.00.005"/>
    <x v="0"/>
    <m/>
    <s v="Saída lateral de eletrocalha para eletroduto, 1 1/2&quot;, galvanizada a fogo por imersão, acompanhada de parafuso cabeça lentilha, porca  e arruela, Ref. MEGA ou equivalente técnico"/>
    <m/>
    <s v="und"/>
    <n v="3"/>
    <n v="2.52"/>
    <n v="7.5600000000000005"/>
  </r>
  <r>
    <n v="71"/>
    <s v="ELETROCALHA E ACESSÓRIOS"/>
    <s v="04.01.01.00.006"/>
    <x v="0"/>
    <m/>
    <s v="Saída lateral de eletrocalha para eletroduto, 2&quot;, galvanizada a fogo por imersão, acompanhada de parafuso cabeça lentilha, porca  e arruela, Ref. MEGA ou equivalente técnico"/>
    <m/>
    <s v="und"/>
    <n v="3"/>
    <n v="2.76"/>
    <n v="8.2799999999999994"/>
  </r>
  <r>
    <n v="72"/>
    <s v="PERFILADO E ACESSÓRIOS"/>
    <s v="04.01.02.00.001"/>
    <x v="0"/>
    <m/>
    <s v="Perfilado em chapa de aço 14, galvanizado a fogo por imersão, perfurado, nas dimensões_x000a_38 x 38 mm, Ref. MEGA ou equivalente técnico"/>
    <m/>
    <s v="m"/>
    <n v="26"/>
    <n v="40"/>
    <n v="1040"/>
  </r>
  <r>
    <n v="73"/>
    <s v="PERFILADO E ACESSÓRIOS"/>
    <s v="04.01.00.00.002"/>
    <x v="0"/>
    <m/>
    <s v="Saída superior de perfilado para eletroduto, 3/4&quot;, galvanizada a fogo por imersão,_x000a_acompanhada de parafuso cabeça lentilha, porca  e arruela, Ref. MEGA ou equivalente técnico"/>
    <m/>
    <s v="und"/>
    <n v="19"/>
    <n v="3.456"/>
    <n v="65.664000000000001"/>
  </r>
  <r>
    <n v="74"/>
    <s v="PERFILADO E ACESSÓRIOS"/>
    <s v="04.01.00.00.003"/>
    <x v="0"/>
    <m/>
    <s v="Saída superior de perfilado para eletroduto, 1 1/2&quot;, galvanizada a fogo por imersão,_x000a_acompanhada de parafuso cabeça lentilha, porca  e arruela, Ref. MEGA ou equivalente técnico"/>
    <m/>
    <s v="und"/>
    <n v="1"/>
    <n v="6.96"/>
    <n v="6.96"/>
  </r>
  <r>
    <n v="75"/>
    <s v="ELETROTUDOS E ACESSÓRIOS"/>
    <s v="04.01.03.00.001"/>
    <x v="0"/>
    <m/>
    <s v="Eletroduto de aço galvanizado a fogo por imersão, diâmetro 3/4&quot;, fabricado conforme_x000a_NBR5598, acompanhado de todos os acessórios necessários a sua instalação, Ref. Apolo ou equivalente técnico"/>
    <m/>
    <s v="m"/>
    <n v="3503"/>
    <n v="20.64"/>
    <n v="72301.919999999998"/>
  </r>
  <r>
    <n v="76"/>
    <s v="ELETROTUDOS E ACESSÓRIOS"/>
    <s v="04.01.03.00.002"/>
    <x v="0"/>
    <m/>
    <s v="Eletroduto de aço galvanizado a fogo por imersão, diâmetro 1&quot;, fabricado conforme_x000a_NBR5598, acompanhado de todos os acessórios necessários a sua instalação, Ref. Apolo ou equivalente técnico"/>
    <m/>
    <s v="m"/>
    <n v="4"/>
    <n v="25.166666666666668"/>
    <n v="100.66666666666667"/>
  </r>
  <r>
    <n v="77"/>
    <s v="ELETROTUDOS E ACESSÓRIOS"/>
    <s v="04.01.03.00.003"/>
    <x v="0"/>
    <m/>
    <s v="Eletroduto de aço galvanizado a fogo por imersão, diâmetro 1 1/2&quot;, fabricado conforme_x000a_NBR5598, acompanhado de todos os acessórios necessários a sua instalação, Ref. Apolo ou equivalente técnico"/>
    <m/>
    <s v="m"/>
    <n v="15"/>
    <n v="42.533333333333331"/>
    <n v="638"/>
  </r>
  <r>
    <n v="78"/>
    <s v="ELETROTUDOS E ACESSÓRIOS"/>
    <s v="04.01.03.00.004"/>
    <x v="0"/>
    <m/>
    <s v="Eletroduto de aço galvanizado a fogo por imersão, diâmetro 2&quot;, fabricado conforme_x000a_NBR5598, acompanhado de todos os acessórios necessários a sua instalação, Ref. Apolo ou equivalente técnico"/>
    <m/>
    <s v="m"/>
    <n v="4"/>
    <n v="56.223333333333329"/>
    <n v="224.89333333333332"/>
  </r>
  <r>
    <n v="79"/>
    <s v="ELETROTUDOS E ACESSÓRIOS"/>
    <s v="04.01.03.00.005"/>
    <x v="0"/>
    <m/>
    <s v="Eletroduto flexível, tipo Seal Tube, 3/4&quot;, Ref. SPTF ou equivalente técnico"/>
    <m/>
    <s v="m"/>
    <n v="415"/>
    <n v="5.22"/>
    <n v="2166.2999999999997"/>
  </r>
  <r>
    <n v="80"/>
    <s v="ELETROTUDOS E ACESSÓRIOS"/>
    <s v="04.01.03.00.006"/>
    <x v="0"/>
    <m/>
    <s v="Eletroduto flexível, tipo Seal Tube, 1 1/2&quot;, Ref. SPTF ou equivalente técnico"/>
    <m/>
    <s v="m"/>
    <n v="57"/>
    <n v="7.32"/>
    <n v="417.24"/>
  </r>
  <r>
    <n v="81"/>
    <s v="ELETROTUDOS E ACESSÓRIOS"/>
    <s v="04.01.03.00.007"/>
    <x v="0"/>
    <m/>
    <s v="Eletroduto flexível, tipo Seal Tube, 2&quot;, Ref. SPTF ou equivalente técnico"/>
    <m/>
    <s v="m"/>
    <n v="14"/>
    <n v="13.71"/>
    <n v="191.94"/>
  </r>
  <r>
    <n v="82"/>
    <s v="ELETROTUDOS E ACESSÓRIOS"/>
    <s v="04.01.03.00.008"/>
    <x v="0"/>
    <m/>
    <s v="Box reto em alumínio fundido, 3/4&quot;, rosca BSP, Ref. Wetzel  ou equivalente técnico"/>
    <m/>
    <s v="und"/>
    <n v="151"/>
    <n v="9.9600000000000009"/>
    <n v="1503.96"/>
  </r>
  <r>
    <n v="83"/>
    <s v="ELETROTUDOS E ACESSÓRIOS"/>
    <s v="04.01.03.00.009"/>
    <x v="0"/>
    <m/>
    <s v="Box reto em alumínio fundido, 1 1/2&quot;, rosca BSP, Ref. Wetzel  ou equivalente técnico"/>
    <m/>
    <s v="und"/>
    <n v="15"/>
    <n v="5.41"/>
    <n v="81.150000000000006"/>
  </r>
  <r>
    <n v="84"/>
    <s v="ELETROTUDOS E ACESSÓRIOS"/>
    <s v="04.01.03.00.010"/>
    <x v="0"/>
    <m/>
    <s v="Box reto em alumínio fundido, 2&quot;, rosca BSP, Ref. Wetzel  ou equivalente técnico"/>
    <m/>
    <s v="und"/>
    <n v="4"/>
    <n v="10.68"/>
    <n v="42.72"/>
  </r>
  <r>
    <n v="85"/>
    <s v="ELETROTUDOS E ACESSÓRIOS"/>
    <s v="04.01.03.00.011"/>
    <x v="0"/>
    <m/>
    <s v="Caixa de Passagem metálica, porta com puxador e trava, fabricada em aço carbono, dobradiças e eixos com tratamento anticorrosão, com dimensões de 300 x 300 x 200 mm, Ref. Cemar ou equivalente técnico"/>
    <m/>
    <s v="und"/>
    <n v="1"/>
    <n v="300"/>
    <n v="300"/>
  </r>
  <r>
    <n v="86"/>
    <s v="CONDULETES"/>
    <s v="04.01.04.00.001"/>
    <x v="0"/>
    <m/>
    <s v="Condulete em alumínio, diâmetro 3/4&quot;, tipo &quot;C&quot;, com tampa, Ref. Wetzel ou equivalente técnico"/>
    <m/>
    <s v="und"/>
    <n v="533"/>
    <n v="14.86"/>
    <n v="7920.38"/>
  </r>
  <r>
    <n v="87"/>
    <s v="CONDULETES"/>
    <s v="04.01.04.00.002"/>
    <x v="0"/>
    <m/>
    <s v="Condulete em alumínio, diâmetro 3/4&quot;, tipo &quot;LL&quot;, com tampa, Ref. Wetzel ou equivalente_x000a_técnico"/>
    <m/>
    <s v="und"/>
    <n v="87"/>
    <n v="14.86"/>
    <n v="1292.82"/>
  </r>
  <r>
    <n v="88"/>
    <s v="CONDULETES"/>
    <s v="04.01.04.00.003"/>
    <x v="0"/>
    <m/>
    <s v="Condulete em alumínio, diâmetro 3/4&quot;, tipo &quot;LR&quot;, com tampa, Ref. Wetzel ou equivalente_x000a_técnico"/>
    <m/>
    <s v="und"/>
    <n v="114"/>
    <n v="14.86"/>
    <n v="1694.04"/>
  </r>
  <r>
    <n v="89"/>
    <s v="CONDULETES"/>
    <s v="04.01.04.00.004"/>
    <x v="0"/>
    <m/>
    <s v="Condulete em alumínio, diâmetro 3/4&quot;, tipo &quot;T&quot;, com tampa , Ref. Wetzel ou equivalente_x000a_técnico"/>
    <m/>
    <s v="und"/>
    <n v="110"/>
    <n v="16.04"/>
    <n v="1764.3999999999999"/>
  </r>
  <r>
    <n v="90"/>
    <s v="CONDULETES"/>
    <s v="04.01.04.00.005"/>
    <x v="0"/>
    <m/>
    <s v="Condulete em alumínio, diâmetro 3/4&quot;, tipo &quot;LB&quot;, com tampa , Ref. Wetzel ou equivalente_x000a_técnico"/>
    <m/>
    <s v="und"/>
    <n v="8"/>
    <n v="14.86"/>
    <n v="118.88"/>
  </r>
  <r>
    <n v="91"/>
    <s v="CONDULETES"/>
    <s v="04.01.04.00.006"/>
    <x v="0"/>
    <m/>
    <s v="Condulete em alumínio, diâmetro 3/4&quot;, tipo &quot;E&quot;, sem tampa , Ref. Wetzel ou equivalente_x000a_técnico"/>
    <m/>
    <s v="und"/>
    <n v="348"/>
    <n v="14.86"/>
    <n v="5171.28"/>
  </r>
  <r>
    <n v="92"/>
    <s v="CONDULETES"/>
    <s v="04.01.04.00.007"/>
    <x v="0"/>
    <m/>
    <s v="Condulete em alumínio, diâmetro 1&quot;, tipo &quot;LR&quot;, com tampa, Ref. Wetzel ou equivalente_x000a_técnico"/>
    <m/>
    <s v="und"/>
    <n v="1"/>
    <n v="23.7"/>
    <n v="23.7"/>
  </r>
  <r>
    <n v="93"/>
    <s v="CONDULETES"/>
    <s v="04.01.04.00.008"/>
    <x v="0"/>
    <m/>
    <s v="Condulete em alumínio, diâmetro 1&quot;, tipo &quot;T&quot;, com tampa , Ref. Wetzel ou equivalente_x000a_técnico"/>
    <m/>
    <s v="und"/>
    <n v="1"/>
    <n v="25.51"/>
    <n v="25.51"/>
  </r>
  <r>
    <n v="94"/>
    <s v="CONDULETES"/>
    <s v="04.01.04.00.009"/>
    <x v="0"/>
    <m/>
    <s v="Condulete em alumínio, diâmetro 1 1/2&quot;, tipo &quot;C&quot;, com tampa, Ref. Wetzel ou_x000a_equivalente técnico"/>
    <m/>
    <s v="und"/>
    <n v="2"/>
    <n v="62.9"/>
    <n v="125.8"/>
  </r>
  <r>
    <n v="95"/>
    <s v="CONDULETES"/>
    <s v="04.01.04.00.010"/>
    <x v="0"/>
    <m/>
    <s v="Condulete em alumínio, diâmetro 1 1/2&quot;, tipo &quot;LL&quot;, com tampa, Ref. Wetzel ou_x000a_equivalente técnico"/>
    <m/>
    <s v="und"/>
    <n v="2"/>
    <n v="62.9"/>
    <n v="125.8"/>
  </r>
  <r>
    <n v="96"/>
    <s v="CONDULETES"/>
    <s v="04.01.04.00.011"/>
    <x v="0"/>
    <m/>
    <s v="Condulete em alumínio, diâmetro 1 1/2&quot;, tipo &quot;T&quot;, com tampa, Ref. Wetzel ou equivalente_x000a_técnico"/>
    <m/>
    <s v="und"/>
    <n v="2"/>
    <n v="68.429999999999993"/>
    <n v="136.85999999999999"/>
  </r>
  <r>
    <n v="97"/>
    <s v="CONDULETES"/>
    <s v="04.01.04.00.012"/>
    <x v="0"/>
    <m/>
    <s v="Condulete em alumínio, diâmetro 2&quot;, tipo &quot;LR&quot;, com tampa, Ref. Wetzel ou equivalente_x000a_técnico"/>
    <m/>
    <s v="und"/>
    <n v="2"/>
    <n v="80.69"/>
    <n v="161.38"/>
  </r>
  <r>
    <n v="98"/>
    <s v="CONDULETES"/>
    <s v="04.01.04.00.013"/>
    <x v="0"/>
    <m/>
    <s v="Condulete em alumínio, diâmetro 2&quot;, tipo &quot;LB&quot;, com tampa , Ref. Wetzel ou equivalente_x000a_técnico"/>
    <m/>
    <s v="und"/>
    <n v="2"/>
    <n v="80.69"/>
    <n v="161.38"/>
  </r>
  <r>
    <n v="99"/>
    <s v="REDE DE DUTOS"/>
    <s v="04.01.05.00.001"/>
    <x v="0"/>
    <m/>
    <s v="Execução Subterrânea de Redes de Dutos (eletroduto corrugado flexível PE ou PEAD),_x000a_construção por método destrutivo, envelopamento em concreto e regularização do terreno, redes com 1 x Ø1&quot;"/>
    <m/>
    <s v="m"/>
    <n v="111"/>
    <n v="51.92"/>
    <n v="5763.12"/>
  </r>
  <r>
    <n v="100"/>
    <s v="REDE DE DUTOS"/>
    <s v="04.01.05.00.002"/>
    <x v="0"/>
    <m/>
    <s v="Execução Subterrânea de Redes de Dutos (eletroduto corrugado flexível PE ou PEAD),_x000a_construção por método destrutivo, envelopamento em concreto e regularização do terreno, redes com 2 x Ø1&quot;"/>
    <m/>
    <s v="m"/>
    <n v="64"/>
    <n v="53.84"/>
    <n v="3445.76"/>
  </r>
  <r>
    <n v="101"/>
    <s v="REDE DE DUTOS"/>
    <s v="04.01.05.00.003"/>
    <x v="0"/>
    <m/>
    <s v="Execução Subterrânea de Redes de Dutos (eletroduto corrugado flexível PE ou PEAD),_x000a_construção por método destrutivo, envelopamento em concreto e regularização do terreno, redes com 2 x Ø2&quot;"/>
    <m/>
    <s v="m"/>
    <n v="45"/>
    <n v="57.34"/>
    <n v="2580.3000000000002"/>
  </r>
  <r>
    <n v="102"/>
    <s v="REDE DE DUTOS"/>
    <s v="04.01.05.00.004"/>
    <x v="0"/>
    <m/>
    <s v="Execução de Caixa de Passagem em blocos de concreto, 400 x 400 x 400 mm"/>
    <m/>
    <s v="und"/>
    <n v="24"/>
    <n v="1200"/>
    <n v="28800"/>
  </r>
  <r>
    <n v="103"/>
    <s v="POSTES METÁLICOS"/>
    <s v="04.01.06.00.001"/>
    <x v="0"/>
    <m/>
    <s v="Poste Reto, fabricado em tubo de aço, galvanizado a fogo, fixação por frange através de_x000a_chumbador com 2 m de altura (Instalação de cãmera sobre a guarita do Acesso Sul e Acesso Escola Naval"/>
    <m/>
    <s v="und"/>
    <n v="1"/>
    <n v="256"/>
    <n v="256"/>
  </r>
  <r>
    <n v="104"/>
    <s v="POSTES METÁLICOS"/>
    <s v="04.01.06.00.002"/>
    <x v="0"/>
    <m/>
    <s v="Poste Reto, fabricado em tubo de aço, galvanizado a fogo, fixação por frange através de chumbador com 4 m de altura (instalação de câmera sobre a guarita de acesso ao pátio)"/>
    <m/>
    <s v="und"/>
    <n v="1"/>
    <n v="465"/>
    <n v="465"/>
  </r>
  <r>
    <n v="105"/>
    <s v="POSTES METÁLICOS"/>
    <s v="04.01.06.00.003"/>
    <x v="0"/>
    <m/>
    <s v="Poste Reto, fabricado em tubo de aço, galvanizado a fogo, fixação por frange através de chumbador com 5 m de altura (instalação de câmera em poste na Guarita G1)"/>
    <m/>
    <s v="und"/>
    <n v="1"/>
    <n v="542"/>
    <n v="542"/>
  </r>
  <r>
    <n v="106"/>
    <s v="POSTES METÁLICOS"/>
    <s v="04.01.06.00.004"/>
    <x v="0"/>
    <m/>
    <s v="Execução de Base em Concreto para poste de 5 m"/>
    <m/>
    <s v="und"/>
    <n v="1"/>
    <n v="500"/>
    <n v="500"/>
  </r>
  <r>
    <n v="107"/>
    <s v="REDE ÓTICA"/>
    <s v="04.02.01.00.001"/>
    <x v="0"/>
    <m/>
    <s v="Cabo Óptico, de 6 fibras (3 pares), monomodo (SM)"/>
    <m/>
    <s v="m"/>
    <n v="6330"/>
    <n v="5"/>
    <n v="31650"/>
  </r>
  <r>
    <n v="108"/>
    <s v="REDE ÓTICA"/>
    <s v="04.02.01.00.002"/>
    <x v="0"/>
    <m/>
    <s v="Cabo Óptico, de 4 fibras (2 pares), monomodo (SM)"/>
    <m/>
    <s v="m"/>
    <n v="4037"/>
    <n v="5"/>
    <n v="20185"/>
  </r>
  <r>
    <n v="109"/>
    <s v="RACK"/>
    <s v="04.02.02.01.001"/>
    <x v="0"/>
    <m/>
    <s v="Rack de 19&quot;, 8 UA, incluindo acessórios"/>
    <m/>
    <s v="und"/>
    <n v="19"/>
    <n v="700"/>
    <n v="13300"/>
  </r>
  <r>
    <n v="110"/>
    <s v="RACK"/>
    <s v="04.02.02.01.002"/>
    <x v="0"/>
    <m/>
    <s v="Rack de 19&quot;, 12 UA, incluindo acessórios"/>
    <m/>
    <s v="und"/>
    <n v="11"/>
    <n v="800"/>
    <n v="8800"/>
  </r>
  <r>
    <n v="111"/>
    <s v="RACK"/>
    <s v="04.02.02.01.003"/>
    <x v="0"/>
    <m/>
    <s v="Rack de 19&quot;, 44 UA, incluindo acessórios"/>
    <m/>
    <s v="und"/>
    <n v="3"/>
    <n v="2500"/>
    <n v="7500"/>
  </r>
  <r>
    <n v="112"/>
    <s v="RACK"/>
    <s v="04.02.02.01.004"/>
    <x v="0"/>
    <m/>
    <s v="Rack Outdor de poste de 19&quot;, 8 UA, incluindo acessórios"/>
    <m/>
    <s v="und"/>
    <n v="1"/>
    <n v="2000"/>
    <n v="2000"/>
  </r>
  <r>
    <n v="113"/>
    <s v="DIO"/>
    <s v="04.02.02.02.001"/>
    <x v="0"/>
    <m/>
    <s v="Distribuidor Interno Óptico (DIO)  padrão 19&quot;, monomodo (SM), conector LC com conexão_x000a_para 12 fibras (6 pares),"/>
    <m/>
    <s v="und"/>
    <n v="21"/>
    <n v="287"/>
    <n v="6027"/>
  </r>
  <r>
    <n v="114"/>
    <s v="DIO"/>
    <s v="04.02.02.02.002"/>
    <x v="0"/>
    <m/>
    <s v="Distribuidor Interno Óptico (DIO)  padrão 19&quot;, monomodo (SM), conector LC com conexão_x000a_para 24 fibras (12 pares),"/>
    <m/>
    <s v="und"/>
    <n v="1"/>
    <n v="287"/>
    <n v="287"/>
  </r>
  <r>
    <n v="115"/>
    <s v="DIO"/>
    <s v="04.02.02.02.003"/>
    <x v="0"/>
    <m/>
    <s v="Distribuidor Interno Óptico (DIO)  padrão 19&quot;, monomodo (SM), conector LC com conexão_x000a_para 48 fibras (24 pares),"/>
    <m/>
    <s v="und"/>
    <n v="2"/>
    <n v="580"/>
    <n v="1160"/>
  </r>
  <r>
    <n v="116"/>
    <s v="PATCH PANEL"/>
    <s v="04.02.02.03.001"/>
    <x v="0"/>
    <m/>
    <s v="Patch Panel de 19&quot;, 24 portas com conectores fêmeas RJ-45 , categoria 6"/>
    <m/>
    <s v="und"/>
    <n v="47"/>
    <n v="70"/>
    <n v="3290"/>
  </r>
  <r>
    <n v="117"/>
    <s v="ORGANIZADOR HORIZONTAL"/>
    <s v="04.02.02.04.001"/>
    <x v="0"/>
    <m/>
    <s v="Organizador Horizontal de cabos de 19&quot;, 1 UA, com tampa na cor preta"/>
    <m/>
    <s v="und"/>
    <n v="104"/>
    <n v="100"/>
    <n v="10400"/>
  </r>
  <r>
    <n v="118"/>
    <s v="GRAMPOS PARA ORG. VERTICAL"/>
    <s v="04.02.02.05.001"/>
    <x v="0"/>
    <m/>
    <s v="Grampos para organização vertical de cabos"/>
    <m/>
    <s v="und"/>
    <n v="208"/>
    <n v="100"/>
    <n v="20800"/>
  </r>
  <r>
    <n v="119"/>
    <s v="SWITCH"/>
    <s v="04.02.02.06.001"/>
    <x v="1"/>
    <m/>
    <s v="Switch Híbrido PoE++, empilhável de 28 portas, incluindo interfaces"/>
    <m/>
    <s v="und"/>
    <n v="47"/>
    <m/>
    <m/>
  </r>
  <r>
    <n v="120"/>
    <s v="SWITCH"/>
    <s v="04.02.02.06.002"/>
    <x v="1"/>
    <m/>
    <s v="Switch SFP+, incluindo interfaces"/>
    <m/>
    <s v="und"/>
    <n v="2"/>
    <m/>
    <m/>
  </r>
  <r>
    <n v="121"/>
    <s v="SWITCH"/>
    <s v="04.02.02.06.003"/>
    <x v="1"/>
    <m/>
    <s v="Switch Chassi Modular - CORE"/>
    <m/>
    <s v="und"/>
    <n v="1"/>
    <m/>
    <m/>
  </r>
  <r>
    <n v="122"/>
    <s v="CORDÃO ÓTICO"/>
    <s v="04.02.02.07.001"/>
    <x v="0"/>
    <m/>
    <s v="Cordão Ótico Duplex em fibra monomodo, terminação LC-LC com 1,5 m"/>
    <m/>
    <s v="und"/>
    <n v="81"/>
    <n v="35"/>
    <n v="2835"/>
  </r>
  <r>
    <n v="123"/>
    <s v="CORDÃO ÓTICO"/>
    <s v="04.02.02.07.002"/>
    <x v="0"/>
    <m/>
    <s v="Cordão Ótico Duplex em fibra monomodo, terminação LC-LC com 3 m"/>
    <m/>
    <s v="und"/>
    <n v="3"/>
    <n v="40"/>
    <n v="120"/>
  </r>
  <r>
    <n v="124"/>
    <s v="CORDÃO ÓTICO"/>
    <s v="04.02.02.07.003"/>
    <x v="0"/>
    <m/>
    <s v="Cordão Ótico Duplex em fibra monomodo, terminação LC-LC com 5 m"/>
    <m/>
    <s v="und"/>
    <n v="4"/>
    <n v="100"/>
    <n v="400"/>
  </r>
  <r>
    <n v="125"/>
    <s v="CORDÃO ÓTICO"/>
    <s v="04.02.02.07.004"/>
    <x v="0"/>
    <m/>
    <s v="Cordão Ótico Duplex em fibra monomodo, terminação LC-LC com 8 m"/>
    <m/>
    <s v="und"/>
    <n v="4"/>
    <n v="150"/>
    <n v="600"/>
  </r>
  <r>
    <n v="126"/>
    <s v="CORDÃO ÓTICO"/>
    <s v="04.02.02.07.005"/>
    <x v="0"/>
    <m/>
    <s v="Cordão Ótico Duplex em fibra monomodo, terminação LC-LC com 10 m"/>
    <m/>
    <s v="und"/>
    <n v="4"/>
    <n v="150"/>
    <n v="600"/>
  </r>
  <r>
    <n v="127"/>
    <s v="CORDÃO ÓTICO"/>
    <s v="04.02.02.07.006"/>
    <x v="0"/>
    <m/>
    <s v="Cordão Ótico Duplex em fibra monomodo, terminação LC-LC com 12 m"/>
    <m/>
    <s v="und"/>
    <n v="4"/>
    <n v="150"/>
    <n v="600"/>
  </r>
  <r>
    <n v="128"/>
    <s v="CORDÃO ÓTICO"/>
    <s v="04.02.02.07.007"/>
    <x v="0"/>
    <m/>
    <s v="Cordão Ótico Duplex em fibra monomodo, terminação LC-SC com 0,5 m"/>
    <m/>
    <s v="und"/>
    <n v="12"/>
    <n v="35"/>
    <n v="420"/>
  </r>
  <r>
    <n v="129"/>
    <s v="CORDÃO ÓTICO"/>
    <s v="04.02.02.07.008"/>
    <x v="0"/>
    <m/>
    <s v="Cordão Ótico Duplex em fibra monomodo, terminação LC-SC com 12 m"/>
    <m/>
    <s v="und"/>
    <n v="7"/>
    <n v="200"/>
    <n v="1400"/>
  </r>
  <r>
    <n v="130"/>
    <s v="PATCH CORD"/>
    <s v="04.02.02.08.001"/>
    <x v="0"/>
    <m/>
    <s v="Patch-cord , categoria 6, com cabo UTP 23 AWG de 4 pares, com conectores RJ-45 nas duas extremidades e proteção em PVC, na cor azul, com comprimento de 0,5 metro"/>
    <m/>
    <s v="und"/>
    <n v="649"/>
    <n v="10"/>
    <n v="6490"/>
  </r>
  <r>
    <n v="131"/>
    <s v="CHASSI PARA CONV. DE MÍDIA"/>
    <s v="04.02.02.09.001"/>
    <x v="0"/>
    <m/>
    <s v="Chassi com slots para conversores de mída"/>
    <m/>
    <s v="und"/>
    <n v="3"/>
    <n v="3640.58"/>
    <n v="10921.74"/>
  </r>
  <r>
    <n v="132"/>
    <s v="CONV. DE MÍDIA E INJETOR POE"/>
    <s v="04.02.02.10.001"/>
    <x v="0"/>
    <m/>
    <s v="Conversor de Mídia UTP RJ45 / SC Fibra òtica Monomodo"/>
    <m/>
    <s v="und"/>
    <n v="30"/>
    <n v="696"/>
    <n v="20880"/>
  </r>
  <r>
    <n v="133"/>
    <s v="CONV. DE MÍDIA E INJETOR POE"/>
    <s v="04.02.02.10.002"/>
    <x v="0"/>
    <m/>
    <s v="Injetor PoE 30W"/>
    <m/>
    <s v="und"/>
    <n v="3"/>
    <n v="410.4"/>
    <n v="1231.1999999999998"/>
  </r>
  <r>
    <n v="134"/>
    <s v="TERM. ÓTICO E CONV. MÍDIA"/>
    <s v="04.02.02.11.001"/>
    <x v="0"/>
    <m/>
    <s v="Caixa  metálica  à prova de intempérie, para abrigar conversor de mídia e  Mini-DIO  ou_x000a_roseta óptica, Ref. PAINEL ou equivalente técnico"/>
    <m/>
    <s v="und"/>
    <n v="7"/>
    <n v="400"/>
    <n v="2800"/>
  </r>
  <r>
    <n v="135"/>
    <s v="TERM. ÓTICO E CONV. MÍDIA"/>
    <s v="04.02.02.11.002"/>
    <x v="0"/>
    <m/>
    <s v="Mini-DIO  para conexão de 6 fibras ópticas (3 pares) monomodo, Ref. FURUKAWA ou_x000a_equivalente técnico"/>
    <m/>
    <s v="und"/>
    <n v="5"/>
    <n v="1482.33"/>
    <n v="7411.65"/>
  </r>
  <r>
    <n v="136"/>
    <s v="TERM. ÓTICO E CONV. MÍDIA"/>
    <s v="04.02.02.11.003"/>
    <x v="0"/>
    <m/>
    <s v="Roseta óptica  para conexão de 4 fibras ópticas (2 pares) monomodo, Ref. FURUKAWA ou_x000a_equivalente técnico"/>
    <m/>
    <s v="und"/>
    <n v="2"/>
    <n v="261.35000000000002"/>
    <n v="522.70000000000005"/>
  </r>
  <r>
    <n v="137"/>
    <s v="CABEAMENTO HORIZONTAL"/>
    <s v="04.02.03.00.001"/>
    <x v="0"/>
    <m/>
    <s v="Cabo UTP, categoria 6, 23 AWG, com 4 pares, na cor azul, Ref. FURUKAWA ou equivalente_x000a_técnico"/>
    <m/>
    <s v="m"/>
    <n v="31258"/>
    <n v="2.8"/>
    <n v="87522.4"/>
  </r>
  <r>
    <n v="138"/>
    <s v="CABEAMENTO HORIZONTAL"/>
    <s v="04.02.03.00.002"/>
    <x v="0"/>
    <m/>
    <s v="Cabo UTP, categoria 6, 23 AWG, com 4 pares, dupla capa blindado, para uso externo em dutos sujeitos a alagamento, na cor preta, Ref. FURUKAWA ou equivalente técnico"/>
    <m/>
    <s v="m"/>
    <n v="2047"/>
    <n v="6"/>
    <n v="12282"/>
  </r>
  <r>
    <n v="139"/>
    <s v="CABEAMENTO HORIZONTAL"/>
    <s v="04.02.03.00.003"/>
    <x v="0"/>
    <m/>
    <s v="Conector RJ-45 fêmea, categoria 6, em 8 vias, padrão EIA/TIA 568-A,  Ref. FURUKAWA ou_x000a_equivalente técnico"/>
    <m/>
    <s v="und"/>
    <n v="378"/>
    <n v="7"/>
    <n v="2646"/>
  </r>
  <r>
    <n v="140"/>
    <s v="CABEAMENTO HORIZONTAL"/>
    <s v="04.02.03.00.004"/>
    <x v="0"/>
    <m/>
    <s v="Espelho 4x2&quot;, para duas tomadas RJ-45 fêmeas, de material termoplástico, na cor bege,_x000a_com 02 (dois) porta-etiquetas, acompanhada de 1 (um) módulo  de tampa cega,  Ref. FURUKAWA ou equivalente técnico"/>
    <m/>
    <s v="und"/>
    <n v="348"/>
    <n v="19.86"/>
    <n v="6911.28"/>
  </r>
  <r>
    <n v="141"/>
    <s v="CONTROLE DE ACESSO DE PESSOAS"/>
    <s v="04.03.01.01.001"/>
    <x v="1"/>
    <m/>
    <s v="Terminal de Controle de Acesso, dupla autenticação com reconhecimento facial e_x000a_aproximação de cartão PoE - para utilização em áreas internas"/>
    <m/>
    <s v="und"/>
    <n v="203"/>
    <n v="2656.28"/>
    <n v="539224.84000000008"/>
  </r>
  <r>
    <n v="142"/>
    <s v="CONTROLE DE ACESSO DE PESSOAS"/>
    <s v="04.03.01.01.002"/>
    <x v="1"/>
    <m/>
    <s v="Terminal de Controle de Acesso, dupla autenticação com reconhecimento facial e aproximação de cartão,PoE, IP66, IK07 - para utilização em áreas externas"/>
    <m/>
    <s v="und"/>
    <n v="37"/>
    <n v="2882.97"/>
    <n v="106669.89"/>
  </r>
  <r>
    <n v="143"/>
    <s v="CONTROLE DE ACESSO DE PESSOAS"/>
    <s v="04.03.01.01.003"/>
    <x v="1"/>
    <m/>
    <s v="Fechadura Eletromagnética, DC12V, 200kg±5% de faixa de força de tração, incluíndo_x000a_suportes de fixação"/>
    <m/>
    <s v="und"/>
    <n v="216"/>
    <n v="1028.04"/>
    <n v="222056.63999999998"/>
  </r>
  <r>
    <n v="144"/>
    <s v="CONTROLE DE ACESSO DE PESSOAS"/>
    <s v="04.03.01.01.004"/>
    <x v="0"/>
    <m/>
    <s v="Contato de Porta"/>
    <m/>
    <s v="und"/>
    <n v="209"/>
    <n v="21"/>
    <n v="4389"/>
  </r>
  <r>
    <n v="145"/>
    <s v="CONTROLE DE ACESSO DE PESSOAS"/>
    <s v="04.03.01.01.005"/>
    <x v="0"/>
    <m/>
    <s v="Botão de Destrave (saída), acabamento em aço inox,"/>
    <m/>
    <s v="und"/>
    <n v="191"/>
    <n v="85.52"/>
    <n v="16334.32"/>
  </r>
  <r>
    <n v="146"/>
    <s v="CONTROLE DE ACESSO DE PESSOAS"/>
    <s v="04.03.01.01.006"/>
    <x v="0"/>
    <m/>
    <s v="Botão de Saída de Emergência, acionamento por quebra de vidro"/>
    <m/>
    <s v="und"/>
    <n v="22"/>
    <n v="65.400000000000006"/>
    <n v="1438.8000000000002"/>
  </r>
  <r>
    <n v="147"/>
    <s v="CONTROLE DE ACESSO DE PESSOAS"/>
    <s v="04.03.01.01.007"/>
    <x v="0"/>
    <m/>
    <s v="Interface com Porta Automática"/>
    <m/>
    <s v="und"/>
    <n v="3"/>
    <n v="1107.8"/>
    <n v="3323.3999999999996"/>
  </r>
  <r>
    <n v="148"/>
    <s v="CONTROLE DE ACESSO DE PESSOAS"/>
    <s v="04.03.01.01.008"/>
    <x v="0"/>
    <m/>
    <s v="Interface com Catraca de Acesso"/>
    <m/>
    <s v="und"/>
    <n v="7"/>
    <n v="7108.75"/>
    <n v="49761.25"/>
  </r>
  <r>
    <n v="149"/>
    <s v="CONTROLE DE ACESSO DE PESSOAS"/>
    <s v="04.03.01.01.009"/>
    <x v="0"/>
    <m/>
    <s v="Interface com Totem Luminoso"/>
    <m/>
    <s v="und"/>
    <n v="2"/>
    <n v="3229.6"/>
    <n v="6459.2"/>
  </r>
  <r>
    <n v="150"/>
    <s v="CONTROLE DE ACESSO DE PESSOAS"/>
    <s v="04.03.01.02.001"/>
    <x v="0"/>
    <m/>
    <s v="Infraestrutura para instalação de controle de acesso na porta simples em alvenaria ou_x000a_divisória"/>
    <m/>
    <s v="cj"/>
    <n v="96"/>
    <n v="200"/>
    <n v="19200"/>
  </r>
  <r>
    <n v="151"/>
    <s v="CONTROLE DE ACESSO DE PESSOAS"/>
    <s v="04.03.01.02.002"/>
    <x v="0"/>
    <m/>
    <s v="Infraestrutura para instalação de controle de acesso na porta dupla em alvenaria ou_x000a_divisória"/>
    <m/>
    <s v="cj"/>
    <n v="86"/>
    <n v="300"/>
    <n v="25800"/>
  </r>
  <r>
    <n v="152"/>
    <s v="CONTROLE DE ACESSO DE PESSOAS"/>
    <s v="04.03.01.02.003"/>
    <x v="0"/>
    <m/>
    <s v="Infraestrutura para instalação de controle de acesso na porta de serviço da ponte de_x000a_embarque"/>
    <m/>
    <s v="cj"/>
    <n v="8"/>
    <n v="200"/>
    <n v="1600"/>
  </r>
  <r>
    <n v="153"/>
    <s v="CONTROLE DE ACESSO DE PESSOAS"/>
    <s v="04.03.01.02.004"/>
    <x v="0"/>
    <m/>
    <s v="Infraestrutura para instalação de controle de acesso na porta da ponte de embarque"/>
    <m/>
    <s v="cj"/>
    <n v="8"/>
    <n v="200"/>
    <n v="1600"/>
  </r>
  <r>
    <n v="154"/>
    <s v="CONTROLE DE ACESSO DE PESSOAS"/>
    <s v="04.03.01.02.005"/>
    <x v="0"/>
    <m/>
    <s v="Infraestrutura para instalação de controle de acesso na porta de correr do embarque_x000a_remoto"/>
    <m/>
    <s v="cj"/>
    <n v="7"/>
    <n v="300"/>
    <n v="2100"/>
  </r>
  <r>
    <n v="155"/>
    <s v="CONTROLE DE ACESSO DE VEÍCULOS"/>
    <s v="04.03.02.01.001"/>
    <x v="1"/>
    <m/>
    <s v="Controladora  com 4 entradas, TCP/IPincluíndo Caixa de Proteção, Fonte de Alimentação_x000a_e Bateria"/>
    <m/>
    <s v="und"/>
    <n v="3"/>
    <n v="1685"/>
    <n v="5055"/>
  </r>
  <r>
    <n v="156"/>
    <s v="CONTROLE DE ACESSO DE VEÍCULOS"/>
    <s v="04.03.02.01.002"/>
    <x v="1"/>
    <m/>
    <s v="Câmera LPR para leitura de placas, TCP/IP, lente autofoco de 3,2 mm a 11,1 mm, sensor_x000a_CMOS 3MP 1/2,8&quot;"/>
    <m/>
    <s v="und"/>
    <n v="4"/>
    <n v="3690"/>
    <n v="14760"/>
  </r>
  <r>
    <n v="157"/>
    <s v="CONTROLE DE ACESSO DE VEÍCULOS"/>
    <s v="04.03.02.01.003"/>
    <x v="1"/>
    <m/>
    <s v="Cancela automática com braço telescópico, fechamento automático com sensor_x000a_infravermelho ou laço indutivo, alimentação 110/220VAC"/>
    <m/>
    <s v="und"/>
    <n v="7"/>
    <n v="7000"/>
    <n v="49000"/>
  </r>
  <r>
    <n v="158"/>
    <s v="CONTROLE DE ACESSO DE VEÍCULOS"/>
    <s v="04.03.02.01.004"/>
    <x v="1"/>
    <m/>
    <s v="Scanner de Chassi de Veiculos, escaneamento através de câmeras de alta velocidade de_x000a_2MP, TCP/IP, resolução &gt; 6000 x 1048 pixels"/>
    <m/>
    <s v="und"/>
    <n v="1"/>
    <n v="160140"/>
    <n v="160140"/>
  </r>
  <r>
    <n v="159"/>
    <s v="CONTROLE DE ACESSO DE VEÍCULOS"/>
    <s v="04.03.02.01.005"/>
    <x v="1"/>
    <m/>
    <s v="Antena UHF, distância da leitura de 8 m, comunicação RS485"/>
    <m/>
    <s v="und"/>
    <n v="2"/>
    <n v="1000"/>
    <n v="2000"/>
  </r>
  <r>
    <n v="160"/>
    <s v="CONTROLE DE ACESSO DE VEÍCULOS"/>
    <s v="04.03.02.01.006"/>
    <x v="0"/>
    <m/>
    <s v="Botão de Destrave (saída), acabamento em aço inox, instalado em condulete tipo &quot;E&quot;"/>
    <m/>
    <s v="und"/>
    <n v="6"/>
    <n v="59"/>
    <n v="354"/>
  </r>
  <r>
    <n v="161"/>
    <s v="CONTROLE DE ACESSO DE VEÍCULOS"/>
    <s v="04.03.02.01.007"/>
    <x v="0"/>
    <m/>
    <s v="Espelho e Conector RJ-45 fêmea, categoria 6, em 8 vias, padrão EIA/TIA 568-A, instalado_x000a_em condulete tipo &quot;E&quot;"/>
    <m/>
    <s v="und"/>
    <n v="3"/>
    <n v="30.7"/>
    <n v="92.1"/>
  </r>
  <r>
    <n v="162"/>
    <s v="CONTROLE DE ACESSO DE VEÍCULOS"/>
    <s v="04.03.02.02.001"/>
    <x v="0"/>
    <m/>
    <s v="Cabo Manga 4x24AWG Blindado"/>
    <m/>
    <s v="m"/>
    <n v="151"/>
    <n v="7.11"/>
    <n v="1073.6100000000001"/>
  </r>
  <r>
    <n v="163"/>
    <s v="CONTROLE DE ACESSO DE VEÍCULOS"/>
    <s v="04.03.02.03.001"/>
    <x v="1"/>
    <m/>
    <s v="Estação de Trabalho Remotas"/>
    <m/>
    <s v="und"/>
    <n v="3"/>
    <n v="4000"/>
    <n v="12000"/>
  </r>
  <r>
    <n v="164"/>
    <s v="PLAT. DE GER. DO SIST. CONTROLE DE ACESSO"/>
    <s v="04.03.03.01.001"/>
    <x v="1"/>
    <m/>
    <s v="Plafaforma de Gerenciamento do Sistema de Controle de Acesso"/>
    <m/>
    <s v="und"/>
    <n v="1"/>
    <n v="473648.89"/>
    <n v="473648.89"/>
  </r>
  <r>
    <n v="165"/>
    <s v="PLAT. DE GER. DO SIST. CONTROLE DE ACESSO"/>
    <s v="04.03.03.02.001"/>
    <x v="1"/>
    <m/>
    <s v="Servidor do SICA"/>
    <m/>
    <s v="und"/>
    <n v="1"/>
    <n v="37832"/>
    <n v="37832"/>
  </r>
  <r>
    <n v="166"/>
    <s v="PLAT. DE GER. DO SIST. CONTROLE DE ACESSO"/>
    <s v="04.03.03.02.002"/>
    <x v="1"/>
    <m/>
    <s v="Estação de Trabalho"/>
    <m/>
    <s v="und"/>
    <n v="3"/>
    <n v="4000"/>
    <n v="12000"/>
  </r>
  <r>
    <n v="167"/>
    <s v="STVV- CÂMERAS DE VÍDEO E ACESSÓRIOS"/>
    <s v="04.04.01.00.001"/>
    <x v="1"/>
    <m/>
    <s v="CFI - Câmera IP, Fixa, Interna, Box, 5MP+IR, Lente de 2.8-12 mm, com caixa de proteção à prova de intempérie, com suporte para teto ou parede,  ou equivalente técnico"/>
    <m/>
    <s v="und"/>
    <n v="38"/>
    <n v="1346.39"/>
    <n v="51162.820000000007"/>
  </r>
  <r>
    <n v="168"/>
    <s v="STVV- CÂMERAS DE VÍDEO E ACESSÓRIOS"/>
    <s v="04.04.01.00.002"/>
    <x v="1"/>
    <m/>
    <s v="CFID -Câmera IP, Fixa,  Interna, com Domo sobreposto, 5MP + IR, Lente de 2.8-12 mm,_x000a_com suporte para teto ou parede, ou equivalente técnico"/>
    <m/>
    <s v="und"/>
    <n v="187"/>
    <n v="1316.45"/>
    <n v="246176.15"/>
  </r>
  <r>
    <n v="169"/>
    <s v="STVV- CÂMERAS DE VÍDEO E ACESSÓRIOS"/>
    <s v="04.04.01.00.003"/>
    <x v="1"/>
    <m/>
    <s v="CIM - Câmera IP, Multisensor, com 8 (oito) sensores de 2MP para visão panorâmica com_x000a_uma PTZ integrada de 4MP e zoom ótico de 40X, com suporte para teto ou parede, ou equivalente técnico"/>
    <m/>
    <s v="und"/>
    <n v="4"/>
    <n v="6922.2999999999993"/>
    <n v="27689.199999999997"/>
  </r>
  <r>
    <n v="170"/>
    <s v="STVV- CÂMERAS DE VÍDEO E ACESSÓRIOS"/>
    <s v="04.04.01.00.004"/>
    <x v="1"/>
    <m/>
    <s v="CEM - Câmera IP, Fixa, Externa, Multisensor, 4MP, lente fixa de 5 mm + lente com zoom óptico de 6-240mm, com suporte para teto ou parede, ou equivalente técnico"/>
    <m/>
    <s v="und"/>
    <n v="2"/>
    <n v="11975.69"/>
    <n v="23951.38"/>
  </r>
  <r>
    <n v="171"/>
    <s v="STVV- CÂMERAS DE VÍDEO E ACESSÓRIOS"/>
    <s v="04.04.01.00.005"/>
    <x v="1"/>
    <m/>
    <s v="CFE - Câmera IP, Fixa, Externa, com Box,  5MP+ IR, Lente de 2.8-12 mm, com caixa de proteção à prova de intempérie, com suporte para teto ou parede, ou equivalente técnico"/>
    <m/>
    <s v="und"/>
    <n v="54"/>
    <n v="1346.39"/>
    <n v="72705.060000000012"/>
  </r>
  <r>
    <n v="172"/>
    <s v="STVV- CÂMERAS DE VÍDEO E ACESSÓRIOS"/>
    <s v="04.04.01.00.006"/>
    <x v="1"/>
    <m/>
    <s v="CFE1 - Câmera IP, Fixa, Externa, com Box, 8MP+ IR, Lente de 8-32 mm, com caixa de proteção à prova de intempérie, com suporte para teto ou parede, ou equivalente técnico"/>
    <m/>
    <s v="und"/>
    <n v="27"/>
    <n v="3022.08"/>
    <n v="81596.160000000003"/>
  </r>
  <r>
    <n v="173"/>
    <s v="STVV- CÂMERAS DE VÍDEO E ACESSÓRIOS"/>
    <s v="04.04.01.00.007"/>
    <x v="1"/>
    <m/>
    <s v="CFE2 -  Câmera IP, Fixa, Externa, com Box, 4MP + IR, Lente de 12-55 mm, com caixa de proteção à prova de intempérie, com suporte para teto ou parede, ou equivalente técnico"/>
    <m/>
    <s v="und"/>
    <n v="17"/>
    <n v="13030.15"/>
    <n v="221512.55"/>
  </r>
  <r>
    <n v="174"/>
    <s v="STVV- CÂMERAS DE VÍDEO E ACESSÓRIOS"/>
    <s v="04.04.01.00.008"/>
    <x v="1"/>
    <m/>
    <s v="CFE3 -  Câmera IP, Fixa, Externa, 8MP + IR, Lente de 6-240 mm, com caixa de proteção à prova de intempérie, com suporte para teto ou parede, ou equivalente técnico"/>
    <m/>
    <s v="und"/>
    <n v="5"/>
    <n v="16128.21"/>
    <n v="80641.049999999988"/>
  </r>
  <r>
    <n v="175"/>
    <s v="STVV- CÂMERAS DE VÍDEO E ACESSÓRIOS"/>
    <s v="04.04.01.00.009"/>
    <x v="1"/>
    <m/>
    <s v="CMID - Câmeras IP, Móvel, Interna, com Domo PTZ pendente, 5MP+ IR, Lente de 5.3-175 mm, zoom de 33X, com suporte para teto ou parede, ou equivalente técnico"/>
    <m/>
    <s v="und"/>
    <n v="16"/>
    <n v="4042.84"/>
    <n v="64685.440000000002"/>
  </r>
  <r>
    <n v="176"/>
    <s v="STVV- CÂMERAS DE VÍDEO E ACESSÓRIOS"/>
    <s v="04.04.01.00.010"/>
    <x v="1"/>
    <m/>
    <s v="CMED - Câmera IP, Móvel, Externa, com Domo PTZ pendente, 5MP + IR, Lente de 5,3 - 175 mm, zoom ótico de 33X, com suporte para teto e parede, ou equivalente técnico"/>
    <m/>
    <s v="und"/>
    <n v="16"/>
    <n v="2758.07"/>
    <n v="44129.120000000003"/>
  </r>
  <r>
    <n v="177"/>
    <s v="STVV- CÂMERAS DE VÍDEO E ACESSÓRIOS"/>
    <s v="04.04.01.00.011"/>
    <x v="1"/>
    <m/>
    <s v="CEL - Câmera para os Elevadores, Câmera IP, Fixa, Interna, 4MP, lente fixa de 2,8 mm,_x000a_microfonoe e speaker embutidos. com suporte, ou equivalente técnico"/>
    <m/>
    <s v="und"/>
    <n v="12"/>
    <n v="761.14"/>
    <n v="9133.68"/>
  </r>
  <r>
    <n v="178"/>
    <s v="STVV- CÂMERAS DE VÍDEO E ACESSÓRIOS"/>
    <s v="04.04.01.00.012"/>
    <x v="1"/>
    <m/>
    <s v="CCP - Câmera de Contagem de Passageiros, Câmera IP com visão estéreo, Fixa, Interna, Lente de 2,5 mm, com suporte para fixação no forro, ou equivalente técnico"/>
    <m/>
    <s v="und"/>
    <n v="3"/>
    <n v="9740.7906750000002"/>
    <n v="29222.372025000001"/>
  </r>
  <r>
    <n v="179"/>
    <s v="STVV- CÂMERAS DE VÍDEO E ACESSÓRIOS"/>
    <s v="04.04.01.00.013"/>
    <x v="1"/>
    <m/>
    <s v="BHT - Sensor Bluetooth, para medição de ocupação de ambiente e fluxo continuo de pessoas"/>
    <m/>
    <s v="und"/>
    <n v="8"/>
    <n v="25760.646250000002"/>
    <n v="206085.17"/>
  </r>
  <r>
    <n v="180"/>
    <s v="STVV- CÂMERAS DE VÍDEO E ACESSÓRIOS"/>
    <s v="04.04.01.00.014"/>
    <x v="0"/>
    <m/>
    <s v="Line-cord , categoria 6, 1,5 mts, com cabo UTP 23 AWG de 4 pares, com conectores RJ-45 nas duas extremidades e proteção em PVC, na cor branca,  Ref. FURUKAWA ou equivalente ]técnico"/>
    <m/>
    <s v="und"/>
    <n v="378"/>
    <n v="26.74"/>
    <n v="10107.719999999999"/>
  </r>
  <r>
    <n v="181"/>
    <s v="STVV- CÂMERAS DE VÍDEO E ACESSÓRIOS"/>
    <s v="04.04.01.00.015"/>
    <x v="0"/>
    <m/>
    <s v="Line-cord , categoria 6, 5,0 mts, com cabo UTP 23 AWG de 4 pares, com conectores RJ-45_x000a_nas duas extremidades e proteção em PVC, na cor branca,  Ref. FURUKAWA ou equivalente técnico"/>
    <m/>
    <s v="und"/>
    <n v="12"/>
    <n v="20"/>
    <n v="240"/>
  </r>
  <r>
    <n v="182"/>
    <s v="STVV - PLATAFORMA DE GESTÃO"/>
    <s v="04.04.02.00.001"/>
    <x v="1"/>
    <m/>
    <s v="Plataforma de Gerenciamento de Sistema de Monitoramento de TV de Vigilância"/>
    <m/>
    <s v="cj"/>
    <n v="1"/>
    <n v="943908.3"/>
    <n v="943908.3"/>
  </r>
  <r>
    <n v="183"/>
    <s v="STVV - PLATAFORMA DE GESTÃO"/>
    <s v="04.04.02.00.002"/>
    <x v="1"/>
    <m/>
    <s v="Sistema de Gravação em Tempo Real"/>
    <m/>
    <s v="cj"/>
    <n v="1"/>
    <n v="6979.38"/>
    <n v="6979.38"/>
  </r>
  <r>
    <n v="184"/>
    <s v="STVV - PLATAFORMA DE GESTÃO"/>
    <s v="04.04.02.00.003"/>
    <x v="1"/>
    <m/>
    <s v="Sistema de Gerenciamento SNMP"/>
    <m/>
    <s v="cj"/>
    <n v="1"/>
    <n v="27254.22"/>
    <n v="27254.22"/>
  </r>
  <r>
    <n v="185"/>
    <s v="STVV - PLATAFORMA DE GESTÃO"/>
    <s v="04.04.02.00.004"/>
    <x v="1"/>
    <m/>
    <s v="Estação de Trabalho"/>
    <m/>
    <s v="cj"/>
    <n v="1"/>
    <n v="4000"/>
    <n v="4000"/>
  </r>
  <r>
    <n v="186"/>
    <s v="STVV - PLATAFORMA DE GESTÃO"/>
    <s v="04.04.02.00.005"/>
    <x v="1"/>
    <m/>
    <s v="Controlador de Câmeras PTZ em rede"/>
    <m/>
    <s v="cj"/>
    <n v="1"/>
    <n v="15693.04"/>
    <n v="15693.04"/>
  </r>
  <r>
    <n v="187"/>
    <s v="STVV - PLATAFORMA DE GESTÃO"/>
    <s v="04.04.02.00.006"/>
    <x v="1"/>
    <m/>
    <s v="Sistema VideoWall composto de monitores de vídeo de 46&quot; ou superior nos formatos das_x000a_matrizes 7x3 e 2x2"/>
    <m/>
    <s v="cj"/>
    <n v="1"/>
    <n v="350000"/>
    <n v="350000"/>
  </r>
  <r>
    <n v="189"/>
    <s v="GESTÃO DE PREV. DOS PASSAGEIROS"/>
    <s v="04.04.03.00.001"/>
    <x v="1"/>
    <m/>
    <s v="Gestão de Previsibilidade dos Passageiros"/>
    <m/>
    <s v="cj"/>
    <n v="1"/>
    <n v="1949201.2216049999"/>
    <n v="1949201.221604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4A0ED-C32E-4081-BB5D-B1A073EF02C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9" firstHeaderRow="1" firstDataRow="1" firstDataCol="1"/>
  <pivotFields count="4">
    <pivotField showAll="0"/>
    <pivotField axis="axisRow" showAll="0">
      <items count="31">
        <item x="23"/>
        <item x="7"/>
        <item x="20"/>
        <item x="2"/>
        <item x="24"/>
        <item x="25"/>
        <item x="21"/>
        <item x="18"/>
        <item x="13"/>
        <item x="6"/>
        <item x="0"/>
        <item x="1"/>
        <item x="29"/>
        <item x="16"/>
        <item x="8"/>
        <item x="15"/>
        <item x="19"/>
        <item x="14"/>
        <item x="9"/>
        <item x="26"/>
        <item x="10"/>
        <item x="5"/>
        <item x="12"/>
        <item x="3"/>
        <item x="11"/>
        <item x="28"/>
        <item x="27"/>
        <item x="17"/>
        <item x="22"/>
        <item x="4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</pivotFields>
  <rowFields count="2">
    <field x="3"/>
    <field x="1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6"/>
    </i>
    <i r="1">
      <x v="28"/>
    </i>
    <i r="1">
      <x v="29"/>
    </i>
    <i>
      <x v="1"/>
    </i>
    <i r="1">
      <x v="4"/>
    </i>
    <i r="1">
      <x v="5"/>
    </i>
    <i r="1">
      <x v="12"/>
    </i>
    <i r="1">
      <x v="14"/>
    </i>
    <i r="1">
      <x v="19"/>
    </i>
    <i r="1">
      <x v="21"/>
    </i>
    <i r="1">
      <x v="25"/>
    </i>
    <i r="1">
      <x v="26"/>
    </i>
    <i r="1">
      <x v="27"/>
    </i>
    <i t="grand">
      <x/>
    </i>
  </rowItems>
  <colItems count="1">
    <i/>
  </colItems>
  <dataFields count="1">
    <dataField name="Contagem de BAM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C9F33-0880-4E3B-900F-088BC2F0CF33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6" firstHeaderRow="1" firstDataRow="1" firstDataCol="1"/>
  <pivotFields count="9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D546C-81B3-4E5C-853F-0644D3A28F54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a de Custo Total Previsto" fld="10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5375-39C6-468B-9A26-08E278A7FDD9}">
  <dimension ref="A3:B39"/>
  <sheetViews>
    <sheetView topLeftCell="A3" workbookViewId="0">
      <selection activeCell="A28" sqref="A5:A28"/>
    </sheetView>
  </sheetViews>
  <sheetFormatPr defaultRowHeight="14.4"/>
  <cols>
    <col min="1" max="1" width="45.109375" bestFit="1" customWidth="1"/>
    <col min="2" max="2" width="17.554687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>
        <v>136</v>
      </c>
    </row>
    <row r="5" spans="1:2">
      <c r="A5" s="4" t="s">
        <v>3</v>
      </c>
      <c r="B5">
        <v>4</v>
      </c>
    </row>
    <row r="6" spans="1:2">
      <c r="A6" s="4" t="s">
        <v>4</v>
      </c>
      <c r="B6">
        <v>7</v>
      </c>
    </row>
    <row r="7" spans="1:2">
      <c r="A7" s="4" t="s">
        <v>5</v>
      </c>
      <c r="B7">
        <v>1</v>
      </c>
    </row>
    <row r="8" spans="1:2">
      <c r="A8" s="4" t="s">
        <v>6</v>
      </c>
      <c r="B8">
        <v>33</v>
      </c>
    </row>
    <row r="9" spans="1:2">
      <c r="A9" s="4" t="s">
        <v>7</v>
      </c>
      <c r="B9">
        <v>11</v>
      </c>
    </row>
    <row r="10" spans="1:2">
      <c r="A10" s="4" t="s">
        <v>8</v>
      </c>
      <c r="B10">
        <v>3</v>
      </c>
    </row>
    <row r="11" spans="1:2">
      <c r="A11" s="4" t="s">
        <v>9</v>
      </c>
      <c r="B11">
        <v>2</v>
      </c>
    </row>
    <row r="12" spans="1:2">
      <c r="A12" s="4" t="s">
        <v>10</v>
      </c>
      <c r="B12">
        <v>8</v>
      </c>
    </row>
    <row r="13" spans="1:2">
      <c r="A13" s="4" t="s">
        <v>11</v>
      </c>
      <c r="B13">
        <v>3</v>
      </c>
    </row>
    <row r="14" spans="1:2">
      <c r="A14" s="4" t="s">
        <v>12</v>
      </c>
      <c r="B14">
        <v>2</v>
      </c>
    </row>
    <row r="15" spans="1:2">
      <c r="A15" s="4" t="s">
        <v>13</v>
      </c>
      <c r="B15">
        <v>8</v>
      </c>
    </row>
    <row r="16" spans="1:2">
      <c r="A16" s="4" t="s">
        <v>14</v>
      </c>
      <c r="B16">
        <v>22</v>
      </c>
    </row>
    <row r="17" spans="1:2">
      <c r="A17" s="4" t="s">
        <v>15</v>
      </c>
      <c r="B17">
        <v>1</v>
      </c>
    </row>
    <row r="18" spans="1:2">
      <c r="A18" s="4" t="s">
        <v>16</v>
      </c>
      <c r="B18">
        <v>1</v>
      </c>
    </row>
    <row r="19" spans="1:2">
      <c r="A19" s="4" t="s">
        <v>17</v>
      </c>
      <c r="B19">
        <v>1</v>
      </c>
    </row>
    <row r="20" spans="1:2">
      <c r="A20" s="4" t="s">
        <v>18</v>
      </c>
      <c r="B20">
        <v>1</v>
      </c>
    </row>
    <row r="21" spans="1:2">
      <c r="A21" s="4" t="s">
        <v>19</v>
      </c>
      <c r="B21">
        <v>3</v>
      </c>
    </row>
    <row r="22" spans="1:2">
      <c r="A22" s="4" t="s">
        <v>20</v>
      </c>
      <c r="B22">
        <v>4</v>
      </c>
    </row>
    <row r="23" spans="1:2">
      <c r="A23" s="4" t="s">
        <v>21</v>
      </c>
      <c r="B23">
        <v>4</v>
      </c>
    </row>
    <row r="24" spans="1:2">
      <c r="A24" s="4" t="s">
        <v>22</v>
      </c>
      <c r="B24">
        <v>8</v>
      </c>
    </row>
    <row r="25" spans="1:2">
      <c r="A25" s="4" t="s">
        <v>23</v>
      </c>
      <c r="B25">
        <v>2</v>
      </c>
    </row>
    <row r="26" spans="1:2">
      <c r="A26" s="4" t="s">
        <v>24</v>
      </c>
      <c r="B26">
        <v>2</v>
      </c>
    </row>
    <row r="27" spans="1:2">
      <c r="A27" s="4" t="s">
        <v>25</v>
      </c>
      <c r="B27">
        <v>3</v>
      </c>
    </row>
    <row r="28" spans="1:2">
      <c r="A28" s="4" t="s">
        <v>26</v>
      </c>
      <c r="B28">
        <v>2</v>
      </c>
    </row>
    <row r="29" spans="1:2">
      <c r="A29" s="3" t="s">
        <v>27</v>
      </c>
    </row>
    <row r="30" spans="1:2">
      <c r="A30" s="4" t="s">
        <v>7</v>
      </c>
    </row>
    <row r="31" spans="1:2">
      <c r="A31" s="4" t="s">
        <v>8</v>
      </c>
    </row>
    <row r="32" spans="1:2">
      <c r="A32" s="4" t="s">
        <v>28</v>
      </c>
    </row>
    <row r="33" spans="1:2">
      <c r="A33" s="4" t="s">
        <v>29</v>
      </c>
    </row>
    <row r="34" spans="1:2">
      <c r="A34" s="4" t="s">
        <v>30</v>
      </c>
    </row>
    <row r="35" spans="1:2">
      <c r="A35" s="4" t="s">
        <v>31</v>
      </c>
    </row>
    <row r="36" spans="1:2">
      <c r="A36" s="4" t="s">
        <v>32</v>
      </c>
    </row>
    <row r="37" spans="1:2">
      <c r="A37" s="4" t="s">
        <v>24</v>
      </c>
    </row>
    <row r="38" spans="1:2">
      <c r="A38" s="4" t="s">
        <v>33</v>
      </c>
    </row>
    <row r="39" spans="1:2">
      <c r="A39" s="3" t="s">
        <v>34</v>
      </c>
      <c r="B39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6634-1735-4627-A296-0F9B42724423}">
  <dimension ref="A3:A6"/>
  <sheetViews>
    <sheetView workbookViewId="0">
      <selection activeCell="A3" sqref="A3"/>
    </sheetView>
  </sheetViews>
  <sheetFormatPr defaultRowHeight="14.4"/>
  <cols>
    <col min="1" max="1" width="18.44140625" bestFit="1" customWidth="1"/>
  </cols>
  <sheetData>
    <row r="3" spans="1:1">
      <c r="A3" s="2" t="s">
        <v>0</v>
      </c>
    </row>
    <row r="4" spans="1:1">
      <c r="A4" s="3" t="s">
        <v>2</v>
      </c>
    </row>
    <row r="5" spans="1:1">
      <c r="A5" s="3" t="s">
        <v>27</v>
      </c>
    </row>
    <row r="6" spans="1:1">
      <c r="A6" s="3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E325-4317-41D9-B107-FB2AE58E8846}">
  <dimension ref="A3:B6"/>
  <sheetViews>
    <sheetView workbookViewId="0">
      <selection activeCell="A4" sqref="A4"/>
    </sheetView>
  </sheetViews>
  <sheetFormatPr defaultRowHeight="14.4"/>
  <cols>
    <col min="1" max="1" width="18.44140625" bestFit="1" customWidth="1"/>
    <col min="2" max="2" width="27.88671875" bestFit="1" customWidth="1"/>
  </cols>
  <sheetData>
    <row r="3" spans="1:2">
      <c r="A3" s="2" t="s">
        <v>0</v>
      </c>
      <c r="B3" t="s">
        <v>35</v>
      </c>
    </row>
    <row r="4" spans="1:2">
      <c r="A4" s="3" t="s">
        <v>2</v>
      </c>
      <c r="B4" s="5">
        <v>809385.23399999994</v>
      </c>
    </row>
    <row r="5" spans="1:2">
      <c r="A5" s="3" t="s">
        <v>27</v>
      </c>
      <c r="B5" s="5">
        <v>6109303.5736299995</v>
      </c>
    </row>
    <row r="6" spans="1:2">
      <c r="A6" s="3" t="s">
        <v>34</v>
      </c>
      <c r="B6" s="5">
        <v>6918688.8076299997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6BBA1-AC5E-4973-AD2A-5D7FF3DE474C}">
  <dimension ref="A1:M17"/>
  <sheetViews>
    <sheetView tabSelected="1" topLeftCell="B4" workbookViewId="0">
      <selection activeCell="F6" sqref="F6"/>
    </sheetView>
  </sheetViews>
  <sheetFormatPr defaultRowHeight="14.4"/>
  <cols>
    <col min="1" max="1" width="9" bestFit="1" customWidth="1"/>
    <col min="2" max="2" width="14.44140625" bestFit="1" customWidth="1"/>
    <col min="3" max="3" width="13.109375" style="1" bestFit="1" customWidth="1"/>
    <col min="4" max="4" width="9.5546875" style="1" bestFit="1" customWidth="1"/>
    <col min="5" max="5" width="65.5546875" bestFit="1" customWidth="1"/>
    <col min="6" max="6" width="42.33203125" bestFit="1" customWidth="1"/>
    <col min="7" max="7" width="29.88671875" customWidth="1"/>
  </cols>
  <sheetData>
    <row r="1" spans="1:13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</row>
    <row r="2" spans="1:13" ht="106.5" customHeight="1">
      <c r="A2" s="7" t="s">
        <v>43</v>
      </c>
      <c r="B2" s="7" t="s">
        <v>44</v>
      </c>
      <c r="C2" s="6">
        <v>38</v>
      </c>
      <c r="D2" s="11">
        <v>38</v>
      </c>
      <c r="E2" s="8" t="s">
        <v>45</v>
      </c>
      <c r="F2" s="14" t="s">
        <v>46</v>
      </c>
      <c r="G2" s="9" t="e" vm="1">
        <v>#VALUE!</v>
      </c>
      <c r="I2" s="6" t="s">
        <v>47</v>
      </c>
      <c r="J2" s="6">
        <v>5</v>
      </c>
      <c r="K2" s="17"/>
      <c r="L2" s="17"/>
      <c r="M2" s="17"/>
    </row>
    <row r="3" spans="1:13" ht="106.5" customHeight="1">
      <c r="A3" s="7" t="s">
        <v>48</v>
      </c>
      <c r="B3" s="7" t="s">
        <v>49</v>
      </c>
      <c r="C3" s="6">
        <v>187</v>
      </c>
      <c r="D3" s="12">
        <f>167+20</f>
        <v>187</v>
      </c>
      <c r="E3" s="8" t="s">
        <v>50</v>
      </c>
      <c r="F3" s="16" t="s">
        <v>51</v>
      </c>
      <c r="G3" s="9" t="e" vm="2">
        <v>#VALUE!</v>
      </c>
      <c r="I3" s="6" t="s">
        <v>47</v>
      </c>
      <c r="J3" s="6">
        <v>2</v>
      </c>
    </row>
    <row r="4" spans="1:13" ht="106.5" customHeight="1">
      <c r="A4" s="7" t="s">
        <v>52</v>
      </c>
      <c r="B4" s="7" t="s">
        <v>53</v>
      </c>
      <c r="C4" s="6">
        <v>4</v>
      </c>
      <c r="D4" s="11">
        <v>4</v>
      </c>
      <c r="E4" s="8" t="s">
        <v>54</v>
      </c>
      <c r="F4" s="14" t="s">
        <v>55</v>
      </c>
      <c r="G4" s="9" t="e" vm="3">
        <v>#VALUE!</v>
      </c>
    </row>
    <row r="5" spans="1:13" ht="106.5" customHeight="1">
      <c r="A5" s="7" t="s">
        <v>56</v>
      </c>
      <c r="B5" s="7" t="s">
        <v>57</v>
      </c>
      <c r="C5" s="6">
        <v>2</v>
      </c>
      <c r="D5" s="11">
        <v>2</v>
      </c>
      <c r="E5" s="8" t="s">
        <v>58</v>
      </c>
      <c r="F5" s="14" t="s">
        <v>59</v>
      </c>
      <c r="G5" s="9" t="e" vm="4">
        <v>#VALUE!</v>
      </c>
    </row>
    <row r="6" spans="1:13" ht="106.5" customHeight="1">
      <c r="A6" s="7" t="s">
        <v>60</v>
      </c>
      <c r="B6" s="7" t="s">
        <v>61</v>
      </c>
      <c r="C6" s="6">
        <v>54</v>
      </c>
      <c r="D6" s="11">
        <v>54</v>
      </c>
      <c r="E6" s="8" t="s">
        <v>62</v>
      </c>
      <c r="F6" s="14" t="s">
        <v>63</v>
      </c>
      <c r="G6" s="9" t="e" vm="5">
        <v>#VALUE!</v>
      </c>
    </row>
    <row r="7" spans="1:13" ht="106.5" customHeight="1">
      <c r="A7" s="7" t="s">
        <v>64</v>
      </c>
      <c r="B7" s="7" t="s">
        <v>65</v>
      </c>
      <c r="C7" s="6">
        <v>27</v>
      </c>
      <c r="D7" s="11">
        <v>27</v>
      </c>
      <c r="E7" s="8" t="s">
        <v>66</v>
      </c>
      <c r="F7" s="14" t="s">
        <v>67</v>
      </c>
      <c r="G7" s="9" t="e" vm="6">
        <v>#VALUE!</v>
      </c>
    </row>
    <row r="8" spans="1:13" ht="106.5" customHeight="1">
      <c r="A8" s="7" t="s">
        <v>68</v>
      </c>
      <c r="B8" s="7" t="s">
        <v>69</v>
      </c>
      <c r="C8" s="6">
        <v>17</v>
      </c>
      <c r="D8" s="6">
        <v>0</v>
      </c>
      <c r="E8" s="8" t="s">
        <v>70</v>
      </c>
      <c r="F8" s="8" t="s">
        <v>71</v>
      </c>
      <c r="G8" s="9" t="e" vm="7">
        <v>#VALUE!</v>
      </c>
    </row>
    <row r="9" spans="1:13" ht="106.5" customHeight="1">
      <c r="A9" s="7" t="s">
        <v>72</v>
      </c>
      <c r="B9" s="7" t="s">
        <v>73</v>
      </c>
      <c r="C9" s="6">
        <v>5</v>
      </c>
      <c r="D9" s="11">
        <v>5</v>
      </c>
      <c r="E9" s="8" t="s">
        <v>74</v>
      </c>
      <c r="F9" s="15" t="s">
        <v>75</v>
      </c>
      <c r="G9" s="9" t="e" vm="8">
        <v>#VALUE!</v>
      </c>
    </row>
    <row r="10" spans="1:13" ht="106.5" customHeight="1">
      <c r="A10" s="7" t="s">
        <v>76</v>
      </c>
      <c r="B10" s="7" t="s">
        <v>77</v>
      </c>
      <c r="C10" s="6">
        <v>16</v>
      </c>
      <c r="D10" s="6">
        <v>6</v>
      </c>
      <c r="E10" s="8" t="s">
        <v>78</v>
      </c>
      <c r="F10" s="8" t="s">
        <v>79</v>
      </c>
      <c r="G10" s="9" t="e" vm="9">
        <v>#VALUE!</v>
      </c>
    </row>
    <row r="11" spans="1:13" ht="106.5" customHeight="1">
      <c r="A11" s="7" t="s">
        <v>80</v>
      </c>
      <c r="B11" s="7" t="s">
        <v>81</v>
      </c>
      <c r="C11" s="6">
        <v>16</v>
      </c>
      <c r="D11" s="6">
        <v>0</v>
      </c>
      <c r="E11" s="8" t="s">
        <v>82</v>
      </c>
      <c r="F11" s="8" t="s">
        <v>79</v>
      </c>
      <c r="G11" s="9" t="e" vm="10">
        <v>#VALUE!</v>
      </c>
    </row>
    <row r="12" spans="1:13" ht="106.5" customHeight="1">
      <c r="A12" s="7" t="s">
        <v>83</v>
      </c>
      <c r="B12" s="7" t="s">
        <v>84</v>
      </c>
      <c r="C12" s="6">
        <v>12</v>
      </c>
      <c r="D12" s="11">
        <v>12</v>
      </c>
      <c r="E12" s="8" t="s">
        <v>85</v>
      </c>
      <c r="F12" s="15" t="s">
        <v>86</v>
      </c>
      <c r="G12" s="9" t="e" vm="11">
        <v>#VALUE!</v>
      </c>
    </row>
    <row r="13" spans="1:13">
      <c r="C13" s="1">
        <f>SUM(C2:C12)</f>
        <v>378</v>
      </c>
      <c r="D13" s="1">
        <f>SUM(D2:D12)</f>
        <v>335</v>
      </c>
    </row>
    <row r="15" spans="1:13">
      <c r="D15" s="1">
        <f>C13-D13</f>
        <v>43</v>
      </c>
    </row>
    <row r="17" spans="1:7" ht="106.5" customHeight="1">
      <c r="A17" s="7"/>
      <c r="B17" s="7" t="s">
        <v>87</v>
      </c>
      <c r="C17" s="6">
        <v>4</v>
      </c>
      <c r="D17" s="11">
        <v>4</v>
      </c>
      <c r="E17" s="8" t="s">
        <v>88</v>
      </c>
      <c r="F17" s="15" t="s">
        <v>89</v>
      </c>
      <c r="G17" s="9" t="e" vm="12">
        <v>#VALUE!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3D09-1864-48D5-A9A8-B110F055B18E}">
  <dimension ref="A1:C2"/>
  <sheetViews>
    <sheetView workbookViewId="0">
      <selection activeCell="I6" sqref="I6"/>
    </sheetView>
  </sheetViews>
  <sheetFormatPr defaultRowHeight="14.4"/>
  <sheetData>
    <row r="1" spans="1:3">
      <c r="A1" s="1" t="s">
        <v>47</v>
      </c>
      <c r="B1" s="1">
        <v>5</v>
      </c>
      <c r="C1" s="1" t="s">
        <v>90</v>
      </c>
    </row>
    <row r="2" spans="1:3">
      <c r="B2" s="1">
        <v>2</v>
      </c>
      <c r="C2" s="1" t="s">
        <v>91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9CA6-334F-4C41-A863-7A5AF2E9D938}">
  <dimension ref="A1:G3"/>
  <sheetViews>
    <sheetView workbookViewId="0">
      <selection activeCell="E6" sqref="E6"/>
    </sheetView>
  </sheetViews>
  <sheetFormatPr defaultRowHeight="14.4"/>
  <cols>
    <col min="1" max="1" width="14" customWidth="1"/>
    <col min="2" max="2" width="17.109375" customWidth="1"/>
    <col min="3" max="3" width="13.109375" bestFit="1" customWidth="1"/>
    <col min="4" max="4" width="14.109375" customWidth="1"/>
    <col min="5" max="5" width="58.5546875" customWidth="1"/>
    <col min="6" max="6" width="29.88671875" bestFit="1" customWidth="1"/>
    <col min="7" max="7" width="14.5546875" customWidth="1"/>
  </cols>
  <sheetData>
    <row r="1" spans="1:7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</row>
    <row r="2" spans="1:7" ht="106.5" customHeight="1">
      <c r="A2" s="7" t="s">
        <v>2</v>
      </c>
      <c r="B2" s="7" t="s">
        <v>92</v>
      </c>
      <c r="C2" s="6">
        <v>203</v>
      </c>
      <c r="D2" s="11">
        <v>203</v>
      </c>
      <c r="E2" s="8" t="s">
        <v>93</v>
      </c>
      <c r="F2" s="14" t="s">
        <v>94</v>
      </c>
      <c r="G2" s="9" t="e" vm="13">
        <v>#VALUE!</v>
      </c>
    </row>
    <row r="3" spans="1:7" ht="106.5" customHeight="1">
      <c r="A3" s="7" t="s">
        <v>2</v>
      </c>
      <c r="B3" s="7" t="s">
        <v>95</v>
      </c>
      <c r="C3" s="6">
        <v>37</v>
      </c>
      <c r="D3" s="11">
        <v>37</v>
      </c>
      <c r="E3" s="8" t="s">
        <v>96</v>
      </c>
      <c r="F3" s="14" t="s">
        <v>97</v>
      </c>
      <c r="G3" s="9" t="e" vm="14"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2F56-DC96-43E9-954A-A732F1E17516}">
  <dimension ref="A1:G2"/>
  <sheetViews>
    <sheetView workbookViewId="0">
      <selection activeCell="E9" sqref="E9"/>
    </sheetView>
  </sheetViews>
  <sheetFormatPr defaultRowHeight="14.4"/>
  <cols>
    <col min="1" max="1" width="12" customWidth="1"/>
    <col min="2" max="2" width="14.88671875" customWidth="1"/>
    <col min="3" max="3" width="13.109375" bestFit="1" customWidth="1"/>
    <col min="4" max="4" width="10.6640625" customWidth="1"/>
    <col min="5" max="5" width="49.109375" customWidth="1"/>
    <col min="6" max="6" width="22.33203125" customWidth="1"/>
    <col min="7" max="7" width="66.88671875" customWidth="1"/>
  </cols>
  <sheetData>
    <row r="1" spans="1:7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</row>
    <row r="2" spans="1:7" ht="106.5" customHeight="1">
      <c r="A2" s="7" t="s">
        <v>98</v>
      </c>
      <c r="B2" s="7" t="s">
        <v>99</v>
      </c>
      <c r="C2" s="6">
        <v>1</v>
      </c>
      <c r="D2" s="6">
        <v>1</v>
      </c>
      <c r="E2" s="8" t="s">
        <v>100</v>
      </c>
      <c r="F2" s="8" t="s">
        <v>101</v>
      </c>
      <c r="G2" s="9" t="e" vm="15"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F12F-6B4B-45D6-B645-BE399C551C5E}">
  <dimension ref="A1:G3"/>
  <sheetViews>
    <sheetView workbookViewId="0">
      <selection activeCell="E5" sqref="E5"/>
    </sheetView>
  </sheetViews>
  <sheetFormatPr defaultRowHeight="14.4"/>
  <cols>
    <col min="1" max="1" width="9" bestFit="1" customWidth="1"/>
    <col min="2" max="2" width="14.44140625" bestFit="1" customWidth="1"/>
    <col min="3" max="3" width="13.109375" bestFit="1" customWidth="1"/>
    <col min="4" max="4" width="9.5546875" bestFit="1" customWidth="1"/>
    <col min="5" max="5" width="64.109375" customWidth="1"/>
    <col min="6" max="6" width="43.6640625" customWidth="1"/>
  </cols>
  <sheetData>
    <row r="1" spans="1:7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</row>
    <row r="2" spans="1:7" ht="106.5" customHeight="1">
      <c r="A2" s="7"/>
      <c r="B2" s="7" t="s">
        <v>102</v>
      </c>
      <c r="C2" s="6">
        <v>7</v>
      </c>
      <c r="D2" s="6"/>
      <c r="E2" s="13" t="s">
        <v>103</v>
      </c>
      <c r="F2" s="8"/>
      <c r="G2" s="9"/>
    </row>
    <row r="3" spans="1:7" ht="106.5" customHeight="1">
      <c r="A3" s="7"/>
      <c r="B3" s="7" t="s">
        <v>104</v>
      </c>
      <c r="C3" s="6">
        <v>2</v>
      </c>
      <c r="D3" s="6"/>
      <c r="E3" s="13" t="s">
        <v>105</v>
      </c>
      <c r="F3" s="8"/>
      <c r="G3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Planilha2</vt:lpstr>
      <vt:lpstr>Planilha3</vt:lpstr>
      <vt:lpstr>BAM CÂMERAS</vt:lpstr>
      <vt:lpstr>CÂMERAS USADAS</vt:lpstr>
      <vt:lpstr>BAM CONT ACESSO</vt:lpstr>
      <vt:lpstr>BAM CHASSIS</vt:lpstr>
      <vt:lpstr>CANCELA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Facchini</dc:creator>
  <cp:keywords/>
  <dc:description/>
  <cp:lastModifiedBy>Rodrigo Vieira</cp:lastModifiedBy>
  <cp:revision/>
  <dcterms:created xsi:type="dcterms:W3CDTF">2024-03-06T17:25:59Z</dcterms:created>
  <dcterms:modified xsi:type="dcterms:W3CDTF">2026-07-23T20:44:16Z</dcterms:modified>
  <cp:category/>
  <cp:contentStatus/>
</cp:coreProperties>
</file>